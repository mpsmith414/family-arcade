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haracter Sheet" sheetId="2" state="visible" r:id="rId4"/>
    <sheet name="Prompt Builder" sheetId="3" state="visible" r:id="rId5"/>
    <sheet name="Shot List" sheetId="4" state="visible" r:id="rId6"/>
    <sheet name="Modifiers" sheetId="5" state="visible" r:id="rId7"/>
    <sheet name="Negative Prompt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<sst xmlns="http://schemas.openxmlformats.org/spreadsheetml/2006/main" count="416" uniqueCount="347">
  <si>
    <t xml:space="preserve">Kling Reference Prompts — Superhero Character Sheet</t>
  </si>
  <si>
    <t xml:space="preserve">What this is</t>
  </si>
  <si>
    <t xml:space="preserve">A prompt kit for Kling AI. The Character Sheet tab holds one column per hero — every detail that has to stay identical from shot to shot. The Prompt Builder assembles those details into finished prompt strings, so a costume change is made once and every prompt updates. The Shot List turns a finished reference image into a sequence of video shots.</t>
  </si>
  <si>
    <t xml:space="preserve">Workflow</t>
  </si>
  <si>
    <t xml:space="preserve">1. Fill the Character Sheet</t>
  </si>
  <si>
    <t xml:space="preserve">One column per hero. Every yellow cell. Be concrete — 'cobalt blue' beats 'blue', 'shoulder-length curly' beats 'curly'. Vague fields are where Kling improvises, and improvisation is what breaks continuity between shots.</t>
  </si>
  <si>
    <t xml:space="preserve">2. Pick a hero</t>
  </si>
  <si>
    <t xml:space="preserve">Prompt Builder tab, cell B2 — a drop-down of the names in row 3 of the Character Sheet. Every prompt below it re-resolves to that hero.</t>
  </si>
  <si>
    <t xml:space="preserve">3. Generate the reference image</t>
  </si>
  <si>
    <t xml:space="preserve">Run the Master Reference prompt in Kling's image generator first. Regenerate until it is right. This single image is the anchor for everything after it — do not skip ahead.</t>
  </si>
  <si>
    <t xml:space="preserve">4. Lock continuity</t>
  </si>
  <si>
    <t xml:space="preserve">Save that image, then record its file name and seed / image ID back in the Character Sheet's Continuity block. That is what lets you come back in a month and match.</t>
  </si>
  <si>
    <t xml:space="preserve">5. Animate</t>
  </si>
  <si>
    <t xml:space="preserve">Feed the reference image into Kling image-to-video and use the Shot List prompts for motion. Keep clips to 5s unless a shot genuinely needs 10s — longer clips drift more.</t>
  </si>
  <si>
    <t xml:space="preserve">Colour legend</t>
  </si>
  <si>
    <t xml:space="preserve">Yellow fill, blue text</t>
  </si>
  <si>
    <t xml:space="preserve">You type here. These are the only cells meant to be edited.</t>
  </si>
  <si>
    <t xml:space="preserve">Black text, no fill</t>
  </si>
  <si>
    <t xml:space="preserve">A formula. It builds itself from the yellow cells — don't overwrite it.</t>
  </si>
  <si>
    <t xml:space="preserve">Grey fill</t>
  </si>
  <si>
    <t xml:space="preserve">Reference library. Copy from it; nothing here feeds a formula.</t>
  </si>
  <si>
    <t xml:space="preserve">Prompt anatomy</t>
  </si>
  <si>
    <t xml:space="preserve">Kling reads a prompt front-to-back and weights the front more heavily. The builder writes every prompt in the same order for that reason:
    SUBJECT  →  APPEARANCE  →  COSTUME  →  ACTION  →  CAMERA  →  LIGHTING  →  STYLE
A video prompt should describe motion and nothing else the reference image already shows. Re-describing the costume in a video prompt invites Kling to redesign it.</t>
  </si>
  <si>
    <t xml:space="preserve">Assumptions</t>
  </si>
  <si>
    <t xml:space="preserve">The two worked examples are named for the two characters in this repo's games, as a format demo — overwrite row 3 of the Character Sheet to rename them. Kling settings named on the Shot List (5s/10s durations, 16:9 / 9:16 / 1:1 aspect ratios, Standard vs Professional mode) reflect Kling's published options; check them against the version you are on, since the model line moves quickly.</t>
  </si>
  <si>
    <t xml:space="preserve">Character Sheet — the details that must never drift</t>
  </si>
  <si>
    <t xml:space="preserve">One column per hero. Fill every yellow cell; a blank field is a field Kling invents differently in every shot.</t>
  </si>
  <si>
    <t xml:space="preserve">Field</t>
  </si>
  <si>
    <t xml:space="preserve">Comet Kid</t>
  </si>
  <si>
    <t xml:space="preserve">Sparkfish</t>
  </si>
  <si>
    <t xml:space="preserve">Hero 3</t>
  </si>
  <si>
    <t xml:space="preserve">Why it matters</t>
  </si>
  <si>
    <t xml:space="preserve">IDENTITY</t>
  </si>
  <si>
    <t xml:space="preserve">Played by / based on</t>
  </si>
  <si>
    <t xml:space="preserve">Oliver</t>
  </si>
  <si>
    <t xml:space="preserve">Emsile</t>
  </si>
  <si>
    <t xml:space="preserve">Name the real person or leave blank. Kling never sees this field — it is your note.</t>
  </si>
  <si>
    <t xml:space="preserve">Age / apparent age</t>
  </si>
  <si>
    <t xml:space="preserve">7 years old</t>
  </si>
  <si>
    <t xml:space="preserve">5 years old</t>
  </si>
  <si>
    <t xml:space="preserve">Kling defaults to adult heroes. Say the age or you get a grown-up in a small suit.</t>
  </si>
  <si>
    <t xml:space="preserve">One-line concept</t>
  </si>
  <si>
    <t xml:space="preserve">a fearless boy speedster who leaves a comet trail</t>
  </si>
  <si>
    <t xml:space="preserve">a bright girl who talks to sea creatures and rides a jet of water</t>
  </si>
  <si>
    <t xml:space="preserve">The elevator pitch. Front-loads the prompt and steers everything after it.</t>
  </si>
  <si>
    <t xml:space="preserve">Build / height</t>
  </si>
  <si>
    <t xml:space="preserve">small and wiry, child proportions</t>
  </si>
  <si>
    <t xml:space="preserve">petite, rounded child proportions</t>
  </si>
  <si>
    <t xml:space="preserve">'child proportions' is the single most load-bearing phrase in the whole sheet.</t>
  </si>
  <si>
    <t xml:space="preserve">FACE</t>
  </si>
  <si>
    <t xml:space="preserve">Face shape</t>
  </si>
  <si>
    <t xml:space="preserve">round face, freckles across the nose</t>
  </si>
  <si>
    <t xml:space="preserve">round face, dimpled cheeks</t>
  </si>
  <si>
    <t xml:space="preserve">Two concrete markers are enough. Ten makes the face mushy.</t>
  </si>
  <si>
    <t xml:space="preserve">Skin tone</t>
  </si>
  <si>
    <t xml:space="preserve">fair skin</t>
  </si>
  <si>
    <t xml:space="preserve">State it. Left out, it changes shot to shot.</t>
  </si>
  <si>
    <t xml:space="preserve">Hair colour</t>
  </si>
  <si>
    <t xml:space="preserve">sandy blond</t>
  </si>
  <si>
    <t xml:space="preserve">light brown</t>
  </si>
  <si>
    <t xml:space="preserve">Name a colour a paint chart would recognise.</t>
  </si>
  <si>
    <t xml:space="preserve">Hair style</t>
  </si>
  <si>
    <t xml:space="preserve">short and messy, swept forward</t>
  </si>
  <si>
    <t xml:space="preserve">shoulder-length, two braids</t>
  </si>
  <si>
    <t xml:space="preserve">Length and shape. Braids and ponytails survive motion better than loose hair.</t>
  </si>
  <si>
    <t xml:space="preserve">Eye colour</t>
  </si>
  <si>
    <t xml:space="preserve">bright blue</t>
  </si>
  <si>
    <t xml:space="preserve">hazel</t>
  </si>
  <si>
    <t xml:space="preserve">One word. Reinforced in every prompt.</t>
  </si>
  <si>
    <t xml:space="preserve">Expression at rest</t>
  </si>
  <si>
    <t xml:space="preserve">grinning, eager</t>
  </si>
  <si>
    <t xml:space="preserve">calm, wide-eyed curiosity</t>
  </si>
  <si>
    <t xml:space="preserve">The neutral face. Anything else you ask for is a departure from this.</t>
  </si>
  <si>
    <t xml:space="preserve">COSTUME</t>
  </si>
  <si>
    <t xml:space="preserve">Suit base colour</t>
  </si>
  <si>
    <t xml:space="preserve">deep cobalt blue</t>
  </si>
  <si>
    <t xml:space="preserve">seafoam green</t>
  </si>
  <si>
    <t xml:space="preserve">Be specific. 'Blue' spans navy to sky and Kling will roam the whole range.</t>
  </si>
  <si>
    <t xml:space="preserve">Secondary colour</t>
  </si>
  <si>
    <t xml:space="preserve">white side panels</t>
  </si>
  <si>
    <t xml:space="preserve">coral pink side panels</t>
  </si>
  <si>
    <t xml:space="preserve">The second colour blocks out the silhouette.</t>
  </si>
  <si>
    <t xml:space="preserve">Accent / trim colour</t>
  </si>
  <si>
    <t xml:space="preserve">gold piping</t>
  </si>
  <si>
    <t xml:space="preserve">silver piping</t>
  </si>
  <si>
    <t xml:space="preserve">Trim reads at a distance and is the first thing to go missing. Keep it simple.</t>
  </si>
  <si>
    <t xml:space="preserve">Material / finish</t>
  </si>
  <si>
    <t xml:space="preserve">matte stretch fabric</t>
  </si>
  <si>
    <t xml:space="preserve">smooth satin finish</t>
  </si>
  <si>
    <t xml:space="preserve">Matte survives lighting changes; gloss throws highlights that move between shots.</t>
  </si>
  <si>
    <t xml:space="preserve">Chest emblem</t>
  </si>
  <si>
    <t xml:space="preserve">a gold comet streaking across a white circle</t>
  </si>
  <si>
    <t xml:space="preserve">a silver fish leaping over a coral wave</t>
  </si>
  <si>
    <t xml:space="preserve">Keep it to one shape and two colours. Detailed emblems re-draw themselves every time.</t>
  </si>
  <si>
    <t xml:space="preserve">Cape / cloak</t>
  </si>
  <si>
    <t xml:space="preserve">short gold cape to the waist</t>
  </si>
  <si>
    <t xml:space="preserve">no cape</t>
  </si>
  <si>
    <t xml:space="preserve">Write 'no cape' rather than leaving it blank — blank is an invitation.</t>
  </si>
  <si>
    <t xml:space="preserve">Mask / headgear</t>
  </si>
  <si>
    <t xml:space="preserve">blue domino mask</t>
  </si>
  <si>
    <t xml:space="preserve">coral headband, no mask</t>
  </si>
  <si>
    <t xml:space="preserve">A mask that covers the eyes will fight any expression you ask for.</t>
  </si>
  <si>
    <t xml:space="preserve">Gloves</t>
  </si>
  <si>
    <t xml:space="preserve">white gloves to the forearm</t>
  </si>
  <si>
    <t xml:space="preserve">short coral gloves</t>
  </si>
  <si>
    <t xml:space="preserve">Length matters at the wrist.</t>
  </si>
  <si>
    <t xml:space="preserve">Boots</t>
  </si>
  <si>
    <t xml:space="preserve">white boots with gold soles</t>
  </si>
  <si>
    <t xml:space="preserve">coral boots with silver soles</t>
  </si>
  <si>
    <t xml:space="preserve">Boots anchor the bottom of the silhouette.</t>
  </si>
  <si>
    <t xml:space="preserve">Belt / utility</t>
  </si>
  <si>
    <t xml:space="preserve">gold belt with a round buckle</t>
  </si>
  <si>
    <t xml:space="preserve">silver belt with a shell buckle</t>
  </si>
  <si>
    <t xml:space="preserve">One belt detail. Pouches and gadgets multiply on their own.</t>
  </si>
  <si>
    <t xml:space="preserve">POWERS &amp; FX</t>
  </si>
  <si>
    <t xml:space="preserve">Primary power</t>
  </si>
  <si>
    <t xml:space="preserve">super speed</t>
  </si>
  <si>
    <t xml:space="preserve">water control</t>
  </si>
  <si>
    <t xml:space="preserve">One power. Two powers halve the clarity of both.</t>
  </si>
  <si>
    <t xml:space="preserve">VFX colour</t>
  </si>
  <si>
    <t xml:space="preserve">gold and white</t>
  </si>
  <si>
    <t xml:space="preserve">aqua and white</t>
  </si>
  <si>
    <t xml:space="preserve">Tie the effect to the trim colour and the character reads as one design.</t>
  </si>
  <si>
    <t xml:space="preserve">VFX shape</t>
  </si>
  <si>
    <t xml:space="preserve">a trailing comet streak of sparks</t>
  </si>
  <si>
    <t xml:space="preserve">arcing ribbons of water</t>
  </si>
  <si>
    <t xml:space="preserve">Shape beats intensity. 'Streak' and 'ribbon' animate; 'glow' just sits there.</t>
  </si>
  <si>
    <t xml:space="preserve">Signature prop</t>
  </si>
  <si>
    <t xml:space="preserve">none</t>
  </si>
  <si>
    <t xml:space="preserve">a small glowing conch shell</t>
  </si>
  <si>
    <t xml:space="preserve">Optional, but a prop gives the hands something to do in a video shot.</t>
  </si>
  <si>
    <t xml:space="preserve">Power pose</t>
  </si>
  <si>
    <t xml:space="preserve">crouched low, one fist forward, ready to sprint</t>
  </si>
  <si>
    <t xml:space="preserve">arms raised, water spiralling upward around her</t>
  </si>
  <si>
    <t xml:space="preserve">The pose for the hero shot. Should be readable in silhouette.</t>
  </si>
  <si>
    <t xml:space="preserve">PERFORMANCE</t>
  </si>
  <si>
    <t xml:space="preserve">Personality</t>
  </si>
  <si>
    <t xml:space="preserve">brave, impatient, funny</t>
  </si>
  <si>
    <t xml:space="preserve">gentle, watchful, brave when it counts</t>
  </si>
  <si>
    <t xml:space="preserve">Three adjectives. Feeds the face and the body language, not the costume.</t>
  </si>
  <si>
    <t xml:space="preserve">Movement style</t>
  </si>
  <si>
    <t xml:space="preserve">quick, bouncy, always leaning forward</t>
  </si>
  <si>
    <t xml:space="preserve">smooth and flowing, light on her feet</t>
  </si>
  <si>
    <t xml:space="preserve">This is the field that makes video shots feel like the character.</t>
  </si>
  <si>
    <t xml:space="preserve">CONTINUITY LOCK</t>
  </si>
  <si>
    <t xml:space="preserve">Art style</t>
  </si>
  <si>
    <t xml:space="preserve">bright 3D animated film style, Pixar-like, soft rounded shapes</t>
  </si>
  <si>
    <t xml:space="preserve">Identical across every hero in one project, or they look like guests in each other's films.</t>
  </si>
  <si>
    <t xml:space="preserve">Reference image file</t>
  </si>
  <si>
    <t xml:space="preserve">comet-kid-ref-01.png</t>
  </si>
  <si>
    <t xml:space="preserve">sparkfish-ref-01.png</t>
  </si>
  <si>
    <t xml:space="preserve">Fill in AFTER you generate the master reference. This is the anchor image.</t>
  </si>
  <si>
    <t xml:space="preserve">Seed / image ID</t>
  </si>
  <si>
    <t xml:space="preserve">(paste after generating)</t>
  </si>
  <si>
    <t xml:space="preserve">Kling's seed or image ID. Without it a matching re-generation is luck.</t>
  </si>
  <si>
    <t xml:space="preserve">Aspect ratio</t>
  </si>
  <si>
    <t xml:space="preserve">16:9</t>
  </si>
  <si>
    <t xml:space="preserve">Keep one ratio per project. Switching re-frames the character.</t>
  </si>
  <si>
    <t xml:space="preserve">Never change</t>
  </si>
  <si>
    <t xml:space="preserve">emblem shape, cape length, mask colour</t>
  </si>
  <si>
    <t xml:space="preserve">emblem shape, braid count, headband colour</t>
  </si>
  <si>
    <t xml:space="preserve">Your own checklist. Read it against each new render before you accept it.</t>
  </si>
  <si>
    <t xml:space="preserve">Prompt Builder — pick a hero, copy a prompt</t>
  </si>
  <si>
    <t xml:space="preserve">Hero:</t>
  </si>
  <si>
    <t xml:space="preserve">← drop-down; the whole sheet re-resolves</t>
  </si>
  <si>
    <t xml:space="preserve">RESOLVED ATTRIBUTES  (INDEX/MATCH into the Character Sheet)</t>
  </si>
  <si>
    <t xml:space="preserve">BUILT PROMPTS  (copy column B straight into Kling)</t>
  </si>
  <si>
    <t xml:space="preserve">Prompt</t>
  </si>
  <si>
    <t xml:space="preserve">Text to copy</t>
  </si>
  <si>
    <t xml:space="preserve">Use it for</t>
  </si>
  <si>
    <t xml:space="preserve">1 · Master reference</t>
  </si>
  <si>
    <t xml:space="preserve">Generate this FIRST. Everything else keys off the image it produces.</t>
  </si>
  <si>
    <t xml:space="preserve">2 · Turnaround sheet</t>
  </si>
  <si>
    <t xml:space="preserve">The continuity bible. Print it and check every later render against it.</t>
  </si>
  <si>
    <t xml:space="preserve">3 · Expression sheet</t>
  </si>
  <si>
    <t xml:space="preserve">Do this before any dialogue or reaction shot.</t>
  </si>
  <si>
    <t xml:space="preserve">4 · Costume detail</t>
  </si>
  <si>
    <t xml:space="preserve">Settles the small parts that otherwise redraw themselves each shot.</t>
  </si>
  <si>
    <t xml:space="preserve">5 · Hero pose</t>
  </si>
  <si>
    <t xml:space="preserve">The poster shot. Also the best still to animate first.</t>
  </si>
  <si>
    <t xml:space="preserve">6 · Video base (image-to-video)</t>
  </si>
  <si>
    <t xml:space="preserve">Paste the reference image in, then this text. Describes motion only — never the costume.</t>
  </si>
  <si>
    <t xml:space="preserve">7 · Two-hero shot</t>
  </si>
  <si>
    <t xml:space="preserve">Feed BOTH reference images. Match scale here or one hero towers over the other.</t>
  </si>
  <si>
    <t xml:space="preserve">Negative prompt</t>
  </si>
  <si>
    <t xml:space="preserve">Paste into Kling's negative field alongside any prompt above.</t>
  </si>
  <si>
    <t xml:space="preserve">Shot List — image-to-video, one row per clip</t>
  </si>
  <si>
    <t xml:space="preserve">Column E builds itself from the hero picked on Prompt Builder plus the yellow cells in C and D. Motion only: say nothing here that the reference image already shows.</t>
  </si>
  <si>
    <t xml:space="preserve">#</t>
  </si>
  <si>
    <t xml:space="preserve">Beat</t>
  </si>
  <si>
    <t xml:space="preserve">Action</t>
  </si>
  <si>
    <t xml:space="preserve">Camera</t>
  </si>
  <si>
    <t xml:space="preserve">Prompt (built)</t>
  </si>
  <si>
    <t xml:space="preserve">Secs</t>
  </si>
  <si>
    <t xml:space="preserve">Ratio</t>
  </si>
  <si>
    <t xml:space="preserve">Mode</t>
  </si>
  <si>
    <t xml:space="preserve">Status</t>
  </si>
  <si>
    <t xml:space="preserve">Establish</t>
  </si>
  <si>
    <t xml:space="preserve">stands still and looks up at the sky, cape and hair moving in the breeze</t>
  </si>
  <si>
    <t xml:space="preserve">slow push in, eye level</t>
  </si>
  <si>
    <t xml:space="preserve">Standard</t>
  </si>
  <si>
    <t xml:space="preserve">To do</t>
  </si>
  <si>
    <t xml:space="preserve">Turn to camera</t>
  </si>
  <si>
    <t xml:space="preserve">turns their head to camera and breaks into a grin</t>
  </si>
  <si>
    <t xml:space="preserve">static close-up, eye level</t>
  </si>
  <si>
    <t xml:space="preserve">Professional</t>
  </si>
  <si>
    <t xml:space="preserve">Power up</t>
  </si>
  <si>
    <t xml:space="preserve">raises both arms as the effect builds and swirls around them</t>
  </si>
  <si>
    <t xml:space="preserve">slow orbit to the left, low angle</t>
  </si>
  <si>
    <t xml:space="preserve">Take off</t>
  </si>
  <si>
    <t xml:space="preserve">crouches, then launches upward out of the top of the frame</t>
  </si>
  <si>
    <t xml:space="preserve">static wide, low angle, tilts up to follow</t>
  </si>
  <si>
    <t xml:space="preserve">Flight</t>
  </si>
  <si>
    <t xml:space="preserve">flies toward camera, effect streaming behind, clouds rushing past</t>
  </si>
  <si>
    <t xml:space="preserve">camera tracks backwards ahead of them</t>
  </si>
  <si>
    <t xml:space="preserve">Landing</t>
  </si>
  <si>
    <t xml:space="preserve">lands hard in a crouch, one fist to the ground, dust ring spreading outward</t>
  </si>
  <si>
    <t xml:space="preserve">static low angle wide, slight shake on impact</t>
  </si>
  <si>
    <t xml:space="preserve">Rescue</t>
  </si>
  <si>
    <t xml:space="preserve">catches a falling object, hugs it safe to their chest and looks relieved</t>
  </si>
  <si>
    <t xml:space="preserve">medium shot, slow push in</t>
  </si>
  <si>
    <t xml:space="preserve">Team up</t>
  </si>
  <si>
    <t xml:space="preserve">the two heroes bump fists and turn to face camera together</t>
  </si>
  <si>
    <t xml:space="preserve">static medium two-shot, eye level</t>
  </si>
  <si>
    <t xml:space="preserve">Victory</t>
  </si>
  <si>
    <t xml:space="preserve">laughs and punches the air, effect bursting outward</t>
  </si>
  <si>
    <t xml:space="preserve">slow pull back to a wide shot</t>
  </si>
  <si>
    <t xml:space="preserve">Walk away</t>
  </si>
  <si>
    <t xml:space="preserve">walks away from camera into the light, cape swinging</t>
  </si>
  <si>
    <t xml:space="preserve">static wide, low angle</t>
  </si>
  <si>
    <t xml:space="preserve">Phone cut</t>
  </si>
  <si>
    <t xml:space="preserve">poses, arms folded, effect glowing steadily around them</t>
  </si>
  <si>
    <t xml:space="preserve">9:16</t>
  </si>
  <si>
    <t xml:space="preserve">Title card</t>
  </si>
  <si>
    <t xml:space="preserve">stands motionless as the effect drifts slowly across the frame</t>
  </si>
  <si>
    <t xml:space="preserve">very slow drift to the right</t>
  </si>
  <si>
    <t xml:space="preserve">1:1</t>
  </si>
  <si>
    <t xml:space="preserve">Total runtime (seconds)</t>
  </si>
  <si>
    <t xml:space="preserve">Modifier library — copy a phrase, drop it into a prompt</t>
  </si>
  <si>
    <t xml:space="preserve">Reference only; nothing here feeds a formula. One phrase per category per prompt — stacking three camera moves gets you none of them.</t>
  </si>
  <si>
    <t xml:space="preserve">Camera angle</t>
  </si>
  <si>
    <t xml:space="preserve">Camera move</t>
  </si>
  <si>
    <t xml:space="preserve">Lighting</t>
  </si>
  <si>
    <t xml:space="preserve">Lens / film</t>
  </si>
  <si>
    <t xml:space="preserve">Style</t>
  </si>
  <si>
    <t xml:space="preserve">Setting</t>
  </si>
  <si>
    <t xml:space="preserve">Motion verb</t>
  </si>
  <si>
    <t xml:space="preserve">eye level</t>
  </si>
  <si>
    <t xml:space="preserve">static shot</t>
  </si>
  <si>
    <t xml:space="preserve">soft even three-point lighting</t>
  </si>
  <si>
    <t xml:space="preserve">shallow depth of field</t>
  </si>
  <si>
    <t xml:space="preserve">bright 3D animated film style, Pixar-like</t>
  </si>
  <si>
    <t xml:space="preserve">plain light grey studio backdrop</t>
  </si>
  <si>
    <t xml:space="preserve">sprints</t>
  </si>
  <si>
    <t xml:space="preserve">low angle, hero shot</t>
  </si>
  <si>
    <t xml:space="preserve">slow push in</t>
  </si>
  <si>
    <t xml:space="preserve">golden hour backlight</t>
  </si>
  <si>
    <t xml:space="preserve">wide angle lens</t>
  </si>
  <si>
    <t xml:space="preserve">hand-drawn 2D cartoon</t>
  </si>
  <si>
    <t xml:space="preserve">city rooftop at sunset</t>
  </si>
  <si>
    <t xml:space="preserve">leaps</t>
  </si>
  <si>
    <t xml:space="preserve">high angle looking down</t>
  </si>
  <si>
    <t xml:space="preserve">slow pull back</t>
  </si>
  <si>
    <t xml:space="preserve">dramatic rim light</t>
  </si>
  <si>
    <t xml:space="preserve">85mm portrait lens</t>
  </si>
  <si>
    <t xml:space="preserve">comic book ink and flat colour</t>
  </si>
  <si>
    <t xml:space="preserve">suburban back garden</t>
  </si>
  <si>
    <t xml:space="preserve">hovers</t>
  </si>
  <si>
    <t xml:space="preserve">worm's eye view</t>
  </si>
  <si>
    <t xml:space="preserve">orbit to the left</t>
  </si>
  <si>
    <t xml:space="preserve">overcast diffused daylight</t>
  </si>
  <si>
    <t xml:space="preserve">anamorphic flare</t>
  </si>
  <si>
    <t xml:space="preserve">watercolour storybook</t>
  </si>
  <si>
    <t xml:space="preserve">school playground</t>
  </si>
  <si>
    <t xml:space="preserve">spins</t>
  </si>
  <si>
    <t xml:space="preserve">over the shoulder</t>
  </si>
  <si>
    <t xml:space="preserve">tracking shot alongside</t>
  </si>
  <si>
    <t xml:space="preserve">neon city glow</t>
  </si>
  <si>
    <t xml:space="preserve">macro detail</t>
  </si>
  <si>
    <t xml:space="preserve">claymation stop-motion</t>
  </si>
  <si>
    <t xml:space="preserve">coral reef underwater</t>
  </si>
  <si>
    <t xml:space="preserve">glides</t>
  </si>
  <si>
    <t xml:space="preserve">dutch angle</t>
  </si>
  <si>
    <t xml:space="preserve">crane up</t>
  </si>
  <si>
    <t xml:space="preserve">single warm key light</t>
  </si>
  <si>
    <t xml:space="preserve">deep focus</t>
  </si>
  <si>
    <t xml:space="preserve">retro Saturday-morning cartoon</t>
  </si>
  <si>
    <t xml:space="preserve">cloud tops in daylight</t>
  </si>
  <si>
    <t xml:space="preserve">skids to a stop</t>
  </si>
  <si>
    <t xml:space="preserve">top-down</t>
  </si>
  <si>
    <t xml:space="preserve">tilt up to follow</t>
  </si>
  <si>
    <t xml:space="preserve">moonlight, cool blue</t>
  </si>
  <si>
    <t xml:space="preserve">slight motion blur</t>
  </si>
  <si>
    <t xml:space="preserve">cel-shaded anime</t>
  </si>
  <si>
    <t xml:space="preserve">living room, toys on the floor</t>
  </si>
  <si>
    <t xml:space="preserve">somersaults</t>
  </si>
  <si>
    <t xml:space="preserve">extreme close-up</t>
  </si>
  <si>
    <t xml:space="preserve">handheld follow</t>
  </si>
  <si>
    <t xml:space="preserve">bright flat daylight</t>
  </si>
  <si>
    <t xml:space="preserve">crisp digital sharpness</t>
  </si>
  <si>
    <t xml:space="preserve">papercraft cut-out</t>
  </si>
  <si>
    <t xml:space="preserve">seaside harbour</t>
  </si>
  <si>
    <t xml:space="preserve">dives</t>
  </si>
  <si>
    <t xml:space="preserve">medium shot</t>
  </si>
  <si>
    <t xml:space="preserve">whip pan</t>
  </si>
  <si>
    <t xml:space="preserve">underwater caustics</t>
  </si>
  <si>
    <t xml:space="preserve">soft focus glow</t>
  </si>
  <si>
    <t xml:space="preserve">chunky toy plastic</t>
  </si>
  <si>
    <t xml:space="preserve">night-time high street</t>
  </si>
  <si>
    <t xml:space="preserve">soars upward</t>
  </si>
  <si>
    <t xml:space="preserve">wide establishing shot</t>
  </si>
  <si>
    <t xml:space="preserve">camera tracks backwards</t>
  </si>
  <si>
    <t xml:space="preserve">firelight from below</t>
  </si>
  <si>
    <t xml:space="preserve">fisheye</t>
  </si>
  <si>
    <t xml:space="preserve">crayon drawing brought to life</t>
  </si>
  <si>
    <t xml:space="preserve">secret base, glowing screens</t>
  </si>
  <si>
    <t xml:space="preserve">lands in a crouch</t>
  </si>
  <si>
    <t xml:space="preserve">Negative prompts — what to keep out</t>
  </si>
  <si>
    <t xml:space="preserve">Default (all categories)</t>
  </si>
  <si>
    <t xml:space="preserve">Copy B4 into Kling's negative field. It rebuilds from the rows below.</t>
  </si>
  <si>
    <t xml:space="preserve">Delete a row's terms above and they drop out of here too.</t>
  </si>
  <si>
    <t xml:space="preserve">Category</t>
  </si>
  <si>
    <t xml:space="preserve">Terms</t>
  </si>
  <si>
    <t xml:space="preserve">Why</t>
  </si>
  <si>
    <t xml:space="preserve">Anatomy</t>
  </si>
  <si>
    <t xml:space="preserve">extra fingers, extra limbs, deformed hands, fused fingers, missing limbs, distorted face, asymmetrical eyes</t>
  </si>
  <si>
    <t xml:space="preserve">The commonest visible failure, and the one a child notices first.</t>
  </si>
  <si>
    <t xml:space="preserve">Age drift</t>
  </si>
  <si>
    <t xml:space="preserve">adult body, teenager, elongated adult proportions, mature facial features</t>
  </si>
  <si>
    <t xml:space="preserve">Kling's superhero prior is adult. Push back on it in both directions.</t>
  </si>
  <si>
    <t xml:space="preserve">Continuity</t>
  </si>
  <si>
    <t xml:space="preserve">changed costume, different emblem, colour shift, inconsistent hair, wrong eye colour, added accessories</t>
  </si>
  <si>
    <t xml:space="preserve">The whole reason this workbook exists.</t>
  </si>
  <si>
    <t xml:space="preserve">Frame</t>
  </si>
  <si>
    <t xml:space="preserve">cropped head, cropped feet, cut off limbs, subject out of frame, multiple characters, duplicate character</t>
  </si>
  <si>
    <t xml:space="preserve">Full-body reference images crop themselves given half a chance.</t>
  </si>
  <si>
    <t xml:space="preserve">Rendering</t>
  </si>
  <si>
    <t xml:space="preserve">blurry, low resolution, jpeg artifacts, oversaturated, heavy grain, watermark, text, logo, signature, caption</t>
  </si>
  <si>
    <t xml:space="preserve">Text and watermarks appear from nowhere on comic-styled prompts.</t>
  </si>
  <si>
    <t xml:space="preserve">Tone</t>
  </si>
  <si>
    <t xml:space="preserve">scary, gore, blood, weapons, violence, dark horror lighting, menacing expression</t>
  </si>
  <si>
    <t xml:space="preserve">The audience is five. Non-negotiable.</t>
  </si>
  <si>
    <t xml:space="preserve">Motion</t>
  </si>
  <si>
    <t xml:space="preserve">flickering, warping, morphing face, jittery limbs, sudden cuts, camera shake, stuttering</t>
  </si>
  <si>
    <t xml:space="preserve">Video only. Harmless on a still, so it stays in the default.</t>
  </si>
  <si>
    <t xml:space="preserve">Note</t>
  </si>
  <si>
    <t xml:space="preserve">Kling weights a long negative prompt weakly — every term dilutes the rest. If one problem keeps recurring, cut the default down to that problem alone rather than adding to it.</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</si>
</sst>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0"/>
      <color rgb="FF1F3864"/>
      <name val="Arial"/>
      <family val="0"/>
      <charset val="1"/>
    </font>
    <font>
      <b val="true"/>
      <sz val="10"/>
      <color rgb="FF1F2430"/>
      <name val="Arial"/>
      <family val="0"/>
      <charset val="1"/>
    </font>
    <font>
      <sz val="10"/>
      <color rgb="FF1F2430"/>
      <name val="Arial"/>
      <family val="0"/>
      <charset val="1"/>
    </font>
    <font>
      <i val="true"/>
      <sz val="9"/>
      <color rgb="FF595959"/>
      <name val="Arial"/>
      <family val="0"/>
      <charset val="1"/>
    </font>
    <font>
      <b val="true"/>
      <sz val="11"/>
      <color rgb="FFFFFFFF"/>
      <name val="Arial"/>
      <family val="0"/>
      <charset val="1"/>
    </font>
    <font>
      <sz val="10"/>
      <color rgb="FF0000FF"/>
      <name val="Arial"/>
      <family val="0"/>
      <charset val="1"/>
    </font>
    <font>
      <b val="true"/>
      <sz val="11"/>
      <color rgb="FF1F2430"/>
      <name val="Arial"/>
      <family val="0"/>
      <charset val="1"/>
    </font>
    <font>
      <b val="true"/>
      <sz val="11"/>
      <color rgb="FF0000FF"/>
      <name val="Arial"/>
      <family val="0"/>
      <charset val="1"/>
    </font>
  </fonts>
  <fills count="7">
    <fill>
      <patternFill patternType="none"/>
    </fill>
    <fill>
      <patternFill patternType="gray125"/>
    </fill>
    <fill>
      <patternFill patternType="solid">
        <fgColor rgb="FF1F3864"/>
        <bgColor rgb="FF1F2430"/>
      </patternFill>
    </fill>
    <fill>
      <patternFill patternType="solid">
        <fgColor rgb="FFFFF2CC"/>
        <bgColor rgb="FFF2F2F2"/>
      </patternFill>
    </fill>
    <fill>
      <patternFill patternType="solid">
        <fgColor rgb="FFF2F2F2"/>
        <bgColor rgb="FFFFFFFF"/>
      </patternFill>
    </fill>
    <fill>
      <patternFill patternType="solid">
        <fgColor rgb="FF2E5395"/>
        <bgColor rgb="FF1F3864"/>
      </patternFill>
    </fill>
    <fill>
      <patternFill patternType="solid">
        <fgColor rgb="FFD9E2F3"/>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6" fillId="3" borderId="0" xfId="0" applyFont="true" applyBorder="false" applyAlignment="true" applyProtection="false">
      <alignment horizontal="left" vertical="top" textRotation="0" wrapText="true" indent="0" shrinkToFit="false"/>
      <protection locked="true" hidden="false"/>
    </xf>
    <xf numFmtId="164" fontId="6" fillId="4"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5" fillId="6" borderId="0"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10" fillId="3"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left" vertical="center" textRotation="0" wrapText="true" indent="0" shrinkToFit="false"/>
      <protection locked="true" hidden="false"/>
    </xf>
    <xf numFmtId="164" fontId="9" fillId="5" borderId="0"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5"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right" vertical="center" textRotation="0" wrapText="fals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395"/>
      <rgbColor rgb="FF1F24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96"/>
  </cols>
  <sheetData>
    <row r="1" customFormat="false" ht="30" hidden="false" customHeight="true" outlineLevel="0" collapsed="false">
      <c r="A1" s="1" t="s">
        <v>0</v>
      </c>
      <c r="B1" s="1"/>
      <c r="C1" s="1"/>
    </row>
    <row r="3" customFormat="false" ht="57.75" hidden="false" customHeight="true" outlineLevel="0" collapsed="false">
      <c r="B3" s="2" t="s">
        <v>1</v>
      </c>
      <c r="C3" s="3" t="s">
        <v>2</v>
      </c>
    </row>
    <row r="5" customFormat="false" ht="15" hidden="false" customHeight="false" outlineLevel="0" collapsed="false">
      <c r="B5" s="2" t="s">
        <v>3</v>
      </c>
    </row>
    <row r="6" customFormat="false" ht="43.5" hidden="false" customHeight="true" outlineLevel="0" collapsed="false">
      <c r="B6" s="4" t="s">
        <v>4</v>
      </c>
      <c r="C6" s="5" t="s">
        <v>5</v>
      </c>
    </row>
    <row r="7" customFormat="false" ht="43.5" hidden="false" customHeight="true" outlineLevel="0" collapsed="false">
      <c r="B7" s="4" t="s">
        <v>6</v>
      </c>
      <c r="C7" s="5" t="s">
        <v>7</v>
      </c>
    </row>
    <row r="8" customFormat="false" ht="43.5" hidden="false" customHeight="true" outlineLevel="0" collapsed="false">
      <c r="B8" s="4" t="s">
        <v>8</v>
      </c>
      <c r="C8" s="5" t="s">
        <v>9</v>
      </c>
    </row>
    <row r="9" customFormat="false" ht="43.5" hidden="false" customHeight="true" outlineLevel="0" collapsed="false">
      <c r="B9" s="4" t="s">
        <v>10</v>
      </c>
      <c r="C9" s="5" t="s">
        <v>11</v>
      </c>
    </row>
    <row r="10" customFormat="false" ht="43.5" hidden="false" customHeight="true" outlineLevel="0" collapsed="false">
      <c r="B10" s="4" t="s">
        <v>12</v>
      </c>
      <c r="C10" s="5" t="s">
        <v>13</v>
      </c>
    </row>
    <row r="12" customFormat="false" ht="15" hidden="false" customHeight="false" outlineLevel="0" collapsed="false">
      <c r="B12" s="2" t="s">
        <v>14</v>
      </c>
    </row>
    <row r="13" customFormat="false" ht="18" hidden="false" customHeight="true" outlineLevel="0" collapsed="false">
      <c r="B13" s="6" t="s">
        <v>15</v>
      </c>
      <c r="C13" s="5" t="s">
        <v>16</v>
      </c>
    </row>
    <row r="14" customFormat="false" ht="18" hidden="false" customHeight="true" outlineLevel="0" collapsed="false">
      <c r="B14" s="4" t="s">
        <v>17</v>
      </c>
      <c r="C14" s="5" t="s">
        <v>18</v>
      </c>
    </row>
    <row r="15" customFormat="false" ht="18" hidden="false" customHeight="true" outlineLevel="0" collapsed="false">
      <c r="B15" s="7" t="s">
        <v>19</v>
      </c>
      <c r="C15" s="5" t="s">
        <v>20</v>
      </c>
    </row>
    <row r="17" customFormat="false" ht="61.5" hidden="false" customHeight="true" outlineLevel="0" collapsed="false">
      <c r="B17" s="2" t="s">
        <v>21</v>
      </c>
      <c r="C17" s="3" t="s">
        <v>22</v>
      </c>
    </row>
    <row r="19" customFormat="false" ht="61.5" hidden="false" customHeight="true" outlineLevel="0" collapsed="false">
      <c r="B19" s="2" t="s">
        <v>23</v>
      </c>
      <c r="C19" s="3" t="s">
        <v>24</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4" min="2" style="0" width="40"/>
    <col collapsed="false" customWidth="true" hidden="false" outlineLevel="0" max="5" min="5" style="0" width="46"/>
  </cols>
  <sheetData>
    <row r="1" customFormat="false" ht="30" hidden="false" customHeight="true" outlineLevel="0" collapsed="false">
      <c r="A1" s="1" t="s">
        <v>25</v>
      </c>
      <c r="B1" s="1"/>
      <c r="C1" s="1"/>
      <c r="D1" s="1"/>
      <c r="E1" s="1"/>
    </row>
    <row r="2" customFormat="false" ht="15.75" hidden="false" customHeight="true" outlineLevel="0" collapsed="false">
      <c r="A2" s="8" t="s">
        <v>26</v>
      </c>
    </row>
    <row r="3" customFormat="false" ht="21.75" hidden="false" customHeight="true" outlineLevel="0" collapsed="false">
      <c r="A3" s="9" t="s">
        <v>27</v>
      </c>
      <c r="B3" s="9" t="s">
        <v>28</v>
      </c>
      <c r="C3" s="9" t="s">
        <v>29</v>
      </c>
      <c r="D3" s="9" t="s">
        <v>30</v>
      </c>
      <c r="E3" s="9" t="s">
        <v>31</v>
      </c>
    </row>
    <row r="4" customFormat="false" ht="18" hidden="false" customHeight="true" outlineLevel="0" collapsed="false">
      <c r="A4" s="10" t="s">
        <v>32</v>
      </c>
      <c r="B4" s="10"/>
      <c r="C4" s="10"/>
      <c r="D4" s="10"/>
      <c r="E4" s="10"/>
    </row>
    <row r="5" customFormat="false" ht="30" hidden="false" customHeight="true" outlineLevel="0" collapsed="false">
      <c r="A5" s="11" t="s">
        <v>33</v>
      </c>
      <c r="B5" s="12" t="s">
        <v>34</v>
      </c>
      <c r="C5" s="12" t="s">
        <v>35</v>
      </c>
      <c r="D5" s="12"/>
      <c r="E5" s="13" t="s">
        <v>36</v>
      </c>
    </row>
    <row r="6" customFormat="false" ht="30" hidden="false" customHeight="true" outlineLevel="0" collapsed="false">
      <c r="A6" s="11" t="s">
        <v>37</v>
      </c>
      <c r="B6" s="12" t="s">
        <v>38</v>
      </c>
      <c r="C6" s="12" t="s">
        <v>39</v>
      </c>
      <c r="D6" s="12"/>
      <c r="E6" s="13" t="s">
        <v>40</v>
      </c>
    </row>
    <row r="7" customFormat="false" ht="30" hidden="false" customHeight="true" outlineLevel="0" collapsed="false">
      <c r="A7" s="11" t="s">
        <v>41</v>
      </c>
      <c r="B7" s="12" t="s">
        <v>42</v>
      </c>
      <c r="C7" s="12" t="s">
        <v>43</v>
      </c>
      <c r="D7" s="12"/>
      <c r="E7" s="13" t="s">
        <v>44</v>
      </c>
    </row>
    <row r="8" customFormat="false" ht="30" hidden="false" customHeight="true" outlineLevel="0" collapsed="false">
      <c r="A8" s="11" t="s">
        <v>45</v>
      </c>
      <c r="B8" s="12" t="s">
        <v>46</v>
      </c>
      <c r="C8" s="12" t="s">
        <v>47</v>
      </c>
      <c r="D8" s="12"/>
      <c r="E8" s="13" t="s">
        <v>48</v>
      </c>
    </row>
    <row r="9" customFormat="false" ht="18" hidden="false" customHeight="true" outlineLevel="0" collapsed="false">
      <c r="A9" s="10" t="s">
        <v>49</v>
      </c>
      <c r="B9" s="10"/>
      <c r="C9" s="10"/>
      <c r="D9" s="10"/>
      <c r="E9" s="10"/>
    </row>
    <row r="10" customFormat="false" ht="30" hidden="false" customHeight="true" outlineLevel="0" collapsed="false">
      <c r="A10" s="11" t="s">
        <v>50</v>
      </c>
      <c r="B10" s="12" t="s">
        <v>51</v>
      </c>
      <c r="C10" s="12" t="s">
        <v>52</v>
      </c>
      <c r="D10" s="12"/>
      <c r="E10" s="13" t="s">
        <v>53</v>
      </c>
    </row>
    <row r="11" customFormat="false" ht="30" hidden="false" customHeight="true" outlineLevel="0" collapsed="false">
      <c r="A11" s="11" t="s">
        <v>54</v>
      </c>
      <c r="B11" s="12" t="s">
        <v>55</v>
      </c>
      <c r="C11" s="12" t="s">
        <v>55</v>
      </c>
      <c r="D11" s="12"/>
      <c r="E11" s="13" t="s">
        <v>56</v>
      </c>
    </row>
    <row r="12" customFormat="false" ht="30" hidden="false" customHeight="true" outlineLevel="0" collapsed="false">
      <c r="A12" s="11" t="s">
        <v>57</v>
      </c>
      <c r="B12" s="12" t="s">
        <v>58</v>
      </c>
      <c r="C12" s="12" t="s">
        <v>59</v>
      </c>
      <c r="D12" s="12"/>
      <c r="E12" s="13" t="s">
        <v>60</v>
      </c>
    </row>
    <row r="13" customFormat="false" ht="30" hidden="false" customHeight="true" outlineLevel="0" collapsed="false">
      <c r="A13" s="11" t="s">
        <v>61</v>
      </c>
      <c r="B13" s="12" t="s">
        <v>62</v>
      </c>
      <c r="C13" s="12" t="s">
        <v>63</v>
      </c>
      <c r="D13" s="12"/>
      <c r="E13" s="13" t="s">
        <v>64</v>
      </c>
    </row>
    <row r="14" customFormat="false" ht="30" hidden="false" customHeight="true" outlineLevel="0" collapsed="false">
      <c r="A14" s="11" t="s">
        <v>65</v>
      </c>
      <c r="B14" s="12" t="s">
        <v>66</v>
      </c>
      <c r="C14" s="12" t="s">
        <v>67</v>
      </c>
      <c r="D14" s="12"/>
      <c r="E14" s="13" t="s">
        <v>68</v>
      </c>
    </row>
    <row r="15" customFormat="false" ht="30" hidden="false" customHeight="true" outlineLevel="0" collapsed="false">
      <c r="A15" s="11" t="s">
        <v>69</v>
      </c>
      <c r="B15" s="12" t="s">
        <v>70</v>
      </c>
      <c r="C15" s="12" t="s">
        <v>71</v>
      </c>
      <c r="D15" s="12"/>
      <c r="E15" s="13" t="s">
        <v>72</v>
      </c>
    </row>
    <row r="16" customFormat="false" ht="18" hidden="false" customHeight="true" outlineLevel="0" collapsed="false">
      <c r="A16" s="10" t="s">
        <v>73</v>
      </c>
      <c r="B16" s="10"/>
      <c r="C16" s="10"/>
      <c r="D16" s="10"/>
      <c r="E16" s="10"/>
    </row>
    <row r="17" customFormat="false" ht="30" hidden="false" customHeight="true" outlineLevel="0" collapsed="false">
      <c r="A17" s="11" t="s">
        <v>74</v>
      </c>
      <c r="B17" s="12" t="s">
        <v>75</v>
      </c>
      <c r="C17" s="12" t="s">
        <v>76</v>
      </c>
      <c r="D17" s="12"/>
      <c r="E17" s="13" t="s">
        <v>77</v>
      </c>
    </row>
    <row r="18" customFormat="false" ht="30" hidden="false" customHeight="true" outlineLevel="0" collapsed="false">
      <c r="A18" s="11" t="s">
        <v>78</v>
      </c>
      <c r="B18" s="12" t="s">
        <v>79</v>
      </c>
      <c r="C18" s="12" t="s">
        <v>80</v>
      </c>
      <c r="D18" s="12"/>
      <c r="E18" s="13" t="s">
        <v>81</v>
      </c>
    </row>
    <row r="19" customFormat="false" ht="30" hidden="false" customHeight="true" outlineLevel="0" collapsed="false">
      <c r="A19" s="11" t="s">
        <v>82</v>
      </c>
      <c r="B19" s="12" t="s">
        <v>83</v>
      </c>
      <c r="C19" s="12" t="s">
        <v>84</v>
      </c>
      <c r="D19" s="12"/>
      <c r="E19" s="13" t="s">
        <v>85</v>
      </c>
    </row>
    <row r="20" customFormat="false" ht="30" hidden="false" customHeight="true" outlineLevel="0" collapsed="false">
      <c r="A20" s="11" t="s">
        <v>86</v>
      </c>
      <c r="B20" s="12" t="s">
        <v>87</v>
      </c>
      <c r="C20" s="12" t="s">
        <v>88</v>
      </c>
      <c r="D20" s="12"/>
      <c r="E20" s="13" t="s">
        <v>89</v>
      </c>
    </row>
    <row r="21" customFormat="false" ht="30" hidden="false" customHeight="true" outlineLevel="0" collapsed="false">
      <c r="A21" s="11" t="s">
        <v>90</v>
      </c>
      <c r="B21" s="12" t="s">
        <v>91</v>
      </c>
      <c r="C21" s="12" t="s">
        <v>92</v>
      </c>
      <c r="D21" s="12"/>
      <c r="E21" s="13" t="s">
        <v>93</v>
      </c>
    </row>
    <row r="22" customFormat="false" ht="30" hidden="false" customHeight="true" outlineLevel="0" collapsed="false">
      <c r="A22" s="11" t="s">
        <v>94</v>
      </c>
      <c r="B22" s="12" t="s">
        <v>95</v>
      </c>
      <c r="C22" s="12" t="s">
        <v>96</v>
      </c>
      <c r="D22" s="12"/>
      <c r="E22" s="13" t="s">
        <v>97</v>
      </c>
    </row>
    <row r="23" customFormat="false" ht="30" hidden="false" customHeight="true" outlineLevel="0" collapsed="false">
      <c r="A23" s="11" t="s">
        <v>98</v>
      </c>
      <c r="B23" s="12" t="s">
        <v>99</v>
      </c>
      <c r="C23" s="12" t="s">
        <v>100</v>
      </c>
      <c r="D23" s="12"/>
      <c r="E23" s="13" t="s">
        <v>101</v>
      </c>
    </row>
    <row r="24" customFormat="false" ht="30" hidden="false" customHeight="true" outlineLevel="0" collapsed="false">
      <c r="A24" s="11" t="s">
        <v>102</v>
      </c>
      <c r="B24" s="12" t="s">
        <v>103</v>
      </c>
      <c r="C24" s="12" t="s">
        <v>104</v>
      </c>
      <c r="D24" s="12"/>
      <c r="E24" s="13" t="s">
        <v>105</v>
      </c>
    </row>
    <row r="25" customFormat="false" ht="30" hidden="false" customHeight="true" outlineLevel="0" collapsed="false">
      <c r="A25" s="11" t="s">
        <v>106</v>
      </c>
      <c r="B25" s="12" t="s">
        <v>107</v>
      </c>
      <c r="C25" s="12" t="s">
        <v>108</v>
      </c>
      <c r="D25" s="12"/>
      <c r="E25" s="13" t="s">
        <v>109</v>
      </c>
    </row>
    <row r="26" customFormat="false" ht="30" hidden="false" customHeight="true" outlineLevel="0" collapsed="false">
      <c r="A26" s="11" t="s">
        <v>110</v>
      </c>
      <c r="B26" s="12" t="s">
        <v>111</v>
      </c>
      <c r="C26" s="12" t="s">
        <v>112</v>
      </c>
      <c r="D26" s="12"/>
      <c r="E26" s="13" t="s">
        <v>113</v>
      </c>
    </row>
    <row r="27" customFormat="false" ht="18" hidden="false" customHeight="true" outlineLevel="0" collapsed="false">
      <c r="A27" s="10" t="s">
        <v>114</v>
      </c>
      <c r="B27" s="10"/>
      <c r="C27" s="10"/>
      <c r="D27" s="10"/>
      <c r="E27" s="10"/>
    </row>
    <row r="28" customFormat="false" ht="30" hidden="false" customHeight="true" outlineLevel="0" collapsed="false">
      <c r="A28" s="11" t="s">
        <v>115</v>
      </c>
      <c r="B28" s="12" t="s">
        <v>116</v>
      </c>
      <c r="C28" s="12" t="s">
        <v>117</v>
      </c>
      <c r="D28" s="12"/>
      <c r="E28" s="13" t="s">
        <v>118</v>
      </c>
    </row>
    <row r="29" customFormat="false" ht="30" hidden="false" customHeight="true" outlineLevel="0" collapsed="false">
      <c r="A29" s="11" t="s">
        <v>119</v>
      </c>
      <c r="B29" s="12" t="s">
        <v>120</v>
      </c>
      <c r="C29" s="12" t="s">
        <v>121</v>
      </c>
      <c r="D29" s="12"/>
      <c r="E29" s="13" t="s">
        <v>122</v>
      </c>
    </row>
    <row r="30" customFormat="false" ht="30" hidden="false" customHeight="true" outlineLevel="0" collapsed="false">
      <c r="A30" s="11" t="s">
        <v>123</v>
      </c>
      <c r="B30" s="12" t="s">
        <v>124</v>
      </c>
      <c r="C30" s="12" t="s">
        <v>125</v>
      </c>
      <c r="D30" s="12"/>
      <c r="E30" s="13" t="s">
        <v>126</v>
      </c>
    </row>
    <row r="31" customFormat="false" ht="30" hidden="false" customHeight="true" outlineLevel="0" collapsed="false">
      <c r="A31" s="11" t="s">
        <v>127</v>
      </c>
      <c r="B31" s="12" t="s">
        <v>128</v>
      </c>
      <c r="C31" s="12" t="s">
        <v>129</v>
      </c>
      <c r="D31" s="12"/>
      <c r="E31" s="13" t="s">
        <v>130</v>
      </c>
    </row>
    <row r="32" customFormat="false" ht="30" hidden="false" customHeight="true" outlineLevel="0" collapsed="false">
      <c r="A32" s="11" t="s">
        <v>131</v>
      </c>
      <c r="B32" s="12" t="s">
        <v>132</v>
      </c>
      <c r="C32" s="12" t="s">
        <v>133</v>
      </c>
      <c r="D32" s="12"/>
      <c r="E32" s="13" t="s">
        <v>134</v>
      </c>
    </row>
    <row r="33" customFormat="false" ht="18" hidden="false" customHeight="true" outlineLevel="0" collapsed="false">
      <c r="A33" s="10" t="s">
        <v>135</v>
      </c>
      <c r="B33" s="10"/>
      <c r="C33" s="10"/>
      <c r="D33" s="10"/>
      <c r="E33" s="10"/>
    </row>
    <row r="34" customFormat="false" ht="30" hidden="false" customHeight="true" outlineLevel="0" collapsed="false">
      <c r="A34" s="11" t="s">
        <v>136</v>
      </c>
      <c r="B34" s="12" t="s">
        <v>137</v>
      </c>
      <c r="C34" s="12" t="s">
        <v>138</v>
      </c>
      <c r="D34" s="12"/>
      <c r="E34" s="13" t="s">
        <v>139</v>
      </c>
    </row>
    <row r="35" customFormat="false" ht="30" hidden="false" customHeight="true" outlineLevel="0" collapsed="false">
      <c r="A35" s="11" t="s">
        <v>140</v>
      </c>
      <c r="B35" s="12" t="s">
        <v>141</v>
      </c>
      <c r="C35" s="12" t="s">
        <v>142</v>
      </c>
      <c r="D35" s="12"/>
      <c r="E35" s="13" t="s">
        <v>143</v>
      </c>
    </row>
    <row r="36" customFormat="false" ht="18" hidden="false" customHeight="true" outlineLevel="0" collapsed="false">
      <c r="A36" s="10" t="s">
        <v>144</v>
      </c>
      <c r="B36" s="10"/>
      <c r="C36" s="10"/>
      <c r="D36" s="10"/>
      <c r="E36" s="10"/>
    </row>
    <row r="37" customFormat="false" ht="30" hidden="false" customHeight="true" outlineLevel="0" collapsed="false">
      <c r="A37" s="11" t="s">
        <v>145</v>
      </c>
      <c r="B37" s="12" t="s">
        <v>146</v>
      </c>
      <c r="C37" s="12" t="s">
        <v>146</v>
      </c>
      <c r="D37" s="12"/>
      <c r="E37" s="13" t="s">
        <v>147</v>
      </c>
    </row>
    <row r="38" customFormat="false" ht="30" hidden="false" customHeight="true" outlineLevel="0" collapsed="false">
      <c r="A38" s="11" t="s">
        <v>148</v>
      </c>
      <c r="B38" s="12" t="s">
        <v>149</v>
      </c>
      <c r="C38" s="12" t="s">
        <v>150</v>
      </c>
      <c r="D38" s="12"/>
      <c r="E38" s="13" t="s">
        <v>151</v>
      </c>
    </row>
    <row r="39" customFormat="false" ht="30" hidden="false" customHeight="true" outlineLevel="0" collapsed="false">
      <c r="A39" s="11" t="s">
        <v>152</v>
      </c>
      <c r="B39" s="12" t="s">
        <v>153</v>
      </c>
      <c r="C39" s="12" t="s">
        <v>153</v>
      </c>
      <c r="D39" s="12"/>
      <c r="E39" s="13" t="s">
        <v>154</v>
      </c>
    </row>
    <row r="40" customFormat="false" ht="30" hidden="false" customHeight="true" outlineLevel="0" collapsed="false">
      <c r="A40" s="11" t="s">
        <v>155</v>
      </c>
      <c r="B40" s="12" t="s">
        <v>156</v>
      </c>
      <c r="C40" s="12" t="s">
        <v>156</v>
      </c>
      <c r="D40" s="12"/>
      <c r="E40" s="13" t="s">
        <v>157</v>
      </c>
    </row>
    <row r="41" customFormat="false" ht="30" hidden="false" customHeight="true" outlineLevel="0" collapsed="false">
      <c r="A41" s="11" t="s">
        <v>158</v>
      </c>
      <c r="B41" s="12" t="s">
        <v>159</v>
      </c>
      <c r="C41" s="12" t="s">
        <v>160</v>
      </c>
      <c r="D41" s="12"/>
      <c r="E41" s="13" t="s">
        <v>161</v>
      </c>
    </row>
  </sheetData>
  <mergeCells count="7">
    <mergeCell ref="A1:E1"/>
    <mergeCell ref="A4:E4"/>
    <mergeCell ref="A9:E9"/>
    <mergeCell ref="A16:E16"/>
    <mergeCell ref="A27:E27"/>
    <mergeCell ref="A33:E33"/>
    <mergeCell ref="A36:E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104"/>
    <col collapsed="false" customWidth="true" hidden="false" outlineLevel="0" max="3" min="3" style="0" width="34"/>
  </cols>
  <sheetData>
    <row r="1" customFormat="false" ht="30" hidden="false" customHeight="true" outlineLevel="0" collapsed="false">
      <c r="A1" s="1" t="s">
        <v>162</v>
      </c>
      <c r="B1" s="1"/>
      <c r="C1" s="1"/>
    </row>
    <row r="2" customFormat="false" ht="19.5" hidden="false" customHeight="true" outlineLevel="0" collapsed="false">
      <c r="A2" s="14" t="s">
        <v>163</v>
      </c>
      <c r="B2" s="15" t="s">
        <v>28</v>
      </c>
      <c r="C2" s="8" t="s">
        <v>164</v>
      </c>
    </row>
    <row r="4" customFormat="false" ht="15" hidden="false" customHeight="true" outlineLevel="0" collapsed="false">
      <c r="A4" s="16" t="s">
        <v>165</v>
      </c>
      <c r="B4" s="16"/>
      <c r="C4" s="16"/>
    </row>
    <row r="5" customFormat="false" ht="15" hidden="false" customHeight="false" outlineLevel="0" collapsed="false">
      <c r="A5" s="17" t="s">
        <v>33</v>
      </c>
      <c r="B5" s="18" t="str">
        <f aca="false">INDEX('Character Sheet'!$B$4:$D$41,MATCH($A5,'Character Sheet'!$A$4:$A$41,0),MATCH($B$2,'Character Sheet'!$B$3:$D$3,0))</f>
        <v>Oliver</v>
      </c>
    </row>
    <row r="6" customFormat="false" ht="15" hidden="false" customHeight="false" outlineLevel="0" collapsed="false">
      <c r="A6" s="17" t="s">
        <v>37</v>
      </c>
      <c r="B6" s="18" t="str">
        <f aca="false">INDEX('Character Sheet'!$B$4:$D$41,MATCH($A6,'Character Sheet'!$A$4:$A$41,0),MATCH($B$2,'Character Sheet'!$B$3:$D$3,0))</f>
        <v>7 years old</v>
      </c>
    </row>
    <row r="7" customFormat="false" ht="15" hidden="false" customHeight="false" outlineLevel="0" collapsed="false">
      <c r="A7" s="17" t="s">
        <v>41</v>
      </c>
      <c r="B7" s="18" t="str">
        <f aca="false">INDEX('Character Sheet'!$B$4:$D$41,MATCH($A7,'Character Sheet'!$A$4:$A$41,0),MATCH($B$2,'Character Sheet'!$B$3:$D$3,0))</f>
        <v>a fearless boy speedster who leaves a comet trail</v>
      </c>
    </row>
    <row r="8" customFormat="false" ht="15" hidden="false" customHeight="false" outlineLevel="0" collapsed="false">
      <c r="A8" s="17" t="s">
        <v>45</v>
      </c>
      <c r="B8" s="18" t="str">
        <f aca="false">INDEX('Character Sheet'!$B$4:$D$41,MATCH($A8,'Character Sheet'!$A$4:$A$41,0),MATCH($B$2,'Character Sheet'!$B$3:$D$3,0))</f>
        <v>small and wiry, child proportions</v>
      </c>
    </row>
    <row r="9" customFormat="false" ht="15" hidden="false" customHeight="false" outlineLevel="0" collapsed="false">
      <c r="A9" s="17" t="s">
        <v>50</v>
      </c>
      <c r="B9" s="18" t="str">
        <f aca="false">INDEX('Character Sheet'!$B$4:$D$41,MATCH($A9,'Character Sheet'!$A$4:$A$41,0),MATCH($B$2,'Character Sheet'!$B$3:$D$3,0))</f>
        <v>round face, freckles across the nose</v>
      </c>
    </row>
    <row r="10" customFormat="false" ht="15" hidden="false" customHeight="false" outlineLevel="0" collapsed="false">
      <c r="A10" s="17" t="s">
        <v>54</v>
      </c>
      <c r="B10" s="18" t="str">
        <f aca="false">INDEX('Character Sheet'!$B$4:$D$41,MATCH($A10,'Character Sheet'!$A$4:$A$41,0),MATCH($B$2,'Character Sheet'!$B$3:$D$3,0))</f>
        <v>fair skin</v>
      </c>
    </row>
    <row r="11" customFormat="false" ht="15" hidden="false" customHeight="false" outlineLevel="0" collapsed="false">
      <c r="A11" s="17" t="s">
        <v>57</v>
      </c>
      <c r="B11" s="18" t="str">
        <f aca="false">INDEX('Character Sheet'!$B$4:$D$41,MATCH($A11,'Character Sheet'!$A$4:$A$41,0),MATCH($B$2,'Character Sheet'!$B$3:$D$3,0))</f>
        <v>sandy blond</v>
      </c>
    </row>
    <row r="12" customFormat="false" ht="15" hidden="false" customHeight="false" outlineLevel="0" collapsed="false">
      <c r="A12" s="17" t="s">
        <v>61</v>
      </c>
      <c r="B12" s="18" t="str">
        <f aca="false">INDEX('Character Sheet'!$B$4:$D$41,MATCH($A12,'Character Sheet'!$A$4:$A$41,0),MATCH($B$2,'Character Sheet'!$B$3:$D$3,0))</f>
        <v>short and messy, swept forward</v>
      </c>
    </row>
    <row r="13" customFormat="false" ht="15" hidden="false" customHeight="false" outlineLevel="0" collapsed="false">
      <c r="A13" s="17" t="s">
        <v>65</v>
      </c>
      <c r="B13" s="18" t="str">
        <f aca="false">INDEX('Character Sheet'!$B$4:$D$41,MATCH($A13,'Character Sheet'!$A$4:$A$41,0),MATCH($B$2,'Character Sheet'!$B$3:$D$3,0))</f>
        <v>bright blue</v>
      </c>
    </row>
    <row r="14" customFormat="false" ht="15" hidden="false" customHeight="false" outlineLevel="0" collapsed="false">
      <c r="A14" s="17" t="s">
        <v>69</v>
      </c>
      <c r="B14" s="18" t="str">
        <f aca="false">INDEX('Character Sheet'!$B$4:$D$41,MATCH($A14,'Character Sheet'!$A$4:$A$41,0),MATCH($B$2,'Character Sheet'!$B$3:$D$3,0))</f>
        <v>grinning, eager</v>
      </c>
    </row>
    <row r="15" customFormat="false" ht="15" hidden="false" customHeight="false" outlineLevel="0" collapsed="false">
      <c r="A15" s="17" t="s">
        <v>74</v>
      </c>
      <c r="B15" s="18" t="str">
        <f aca="false">INDEX('Character Sheet'!$B$4:$D$41,MATCH($A15,'Character Sheet'!$A$4:$A$41,0),MATCH($B$2,'Character Sheet'!$B$3:$D$3,0))</f>
        <v>deep cobalt blue</v>
      </c>
    </row>
    <row r="16" customFormat="false" ht="15" hidden="false" customHeight="false" outlineLevel="0" collapsed="false">
      <c r="A16" s="17" t="s">
        <v>78</v>
      </c>
      <c r="B16" s="18" t="str">
        <f aca="false">INDEX('Character Sheet'!$B$4:$D$41,MATCH($A16,'Character Sheet'!$A$4:$A$41,0),MATCH($B$2,'Character Sheet'!$B$3:$D$3,0))</f>
        <v>white side panels</v>
      </c>
    </row>
    <row r="17" customFormat="false" ht="15" hidden="false" customHeight="false" outlineLevel="0" collapsed="false">
      <c r="A17" s="17" t="s">
        <v>82</v>
      </c>
      <c r="B17" s="18" t="str">
        <f aca="false">INDEX('Character Sheet'!$B$4:$D$41,MATCH($A17,'Character Sheet'!$A$4:$A$41,0),MATCH($B$2,'Character Sheet'!$B$3:$D$3,0))</f>
        <v>gold piping</v>
      </c>
    </row>
    <row r="18" customFormat="false" ht="15" hidden="false" customHeight="false" outlineLevel="0" collapsed="false">
      <c r="A18" s="17" t="s">
        <v>86</v>
      </c>
      <c r="B18" s="18" t="str">
        <f aca="false">INDEX('Character Sheet'!$B$4:$D$41,MATCH($A18,'Character Sheet'!$A$4:$A$41,0),MATCH($B$2,'Character Sheet'!$B$3:$D$3,0))</f>
        <v>matte stretch fabric</v>
      </c>
    </row>
    <row r="19" customFormat="false" ht="15" hidden="false" customHeight="false" outlineLevel="0" collapsed="false">
      <c r="A19" s="17" t="s">
        <v>90</v>
      </c>
      <c r="B19" s="18" t="str">
        <f aca="false">INDEX('Character Sheet'!$B$4:$D$41,MATCH($A19,'Character Sheet'!$A$4:$A$41,0),MATCH($B$2,'Character Sheet'!$B$3:$D$3,0))</f>
        <v>a gold comet streaking across a white circle</v>
      </c>
    </row>
    <row r="20" customFormat="false" ht="15" hidden="false" customHeight="false" outlineLevel="0" collapsed="false">
      <c r="A20" s="17" t="s">
        <v>94</v>
      </c>
      <c r="B20" s="18" t="str">
        <f aca="false">INDEX('Character Sheet'!$B$4:$D$41,MATCH($A20,'Character Sheet'!$A$4:$A$41,0),MATCH($B$2,'Character Sheet'!$B$3:$D$3,0))</f>
        <v>short gold cape to the waist</v>
      </c>
    </row>
    <row r="21" customFormat="false" ht="15" hidden="false" customHeight="false" outlineLevel="0" collapsed="false">
      <c r="A21" s="17" t="s">
        <v>98</v>
      </c>
      <c r="B21" s="18" t="str">
        <f aca="false">INDEX('Character Sheet'!$B$4:$D$41,MATCH($A21,'Character Sheet'!$A$4:$A$41,0),MATCH($B$2,'Character Sheet'!$B$3:$D$3,0))</f>
        <v>blue domino mask</v>
      </c>
    </row>
    <row r="22" customFormat="false" ht="15" hidden="false" customHeight="false" outlineLevel="0" collapsed="false">
      <c r="A22" s="17" t="s">
        <v>102</v>
      </c>
      <c r="B22" s="18" t="str">
        <f aca="false">INDEX('Character Sheet'!$B$4:$D$41,MATCH($A22,'Character Sheet'!$A$4:$A$41,0),MATCH($B$2,'Character Sheet'!$B$3:$D$3,0))</f>
        <v>white gloves to the forearm</v>
      </c>
    </row>
    <row r="23" customFormat="false" ht="15" hidden="false" customHeight="false" outlineLevel="0" collapsed="false">
      <c r="A23" s="17" t="s">
        <v>106</v>
      </c>
      <c r="B23" s="18" t="str">
        <f aca="false">INDEX('Character Sheet'!$B$4:$D$41,MATCH($A23,'Character Sheet'!$A$4:$A$41,0),MATCH($B$2,'Character Sheet'!$B$3:$D$3,0))</f>
        <v>white boots with gold soles</v>
      </c>
    </row>
    <row r="24" customFormat="false" ht="15" hidden="false" customHeight="false" outlineLevel="0" collapsed="false">
      <c r="A24" s="17" t="s">
        <v>110</v>
      </c>
      <c r="B24" s="18" t="str">
        <f aca="false">INDEX('Character Sheet'!$B$4:$D$41,MATCH($A24,'Character Sheet'!$A$4:$A$41,0),MATCH($B$2,'Character Sheet'!$B$3:$D$3,0))</f>
        <v>gold belt with a round buckle</v>
      </c>
    </row>
    <row r="25" customFormat="false" ht="15" hidden="false" customHeight="false" outlineLevel="0" collapsed="false">
      <c r="A25" s="17" t="s">
        <v>115</v>
      </c>
      <c r="B25" s="18" t="str">
        <f aca="false">INDEX('Character Sheet'!$B$4:$D$41,MATCH($A25,'Character Sheet'!$A$4:$A$41,0),MATCH($B$2,'Character Sheet'!$B$3:$D$3,0))</f>
        <v>super speed</v>
      </c>
    </row>
    <row r="26" customFormat="false" ht="15" hidden="false" customHeight="false" outlineLevel="0" collapsed="false">
      <c r="A26" s="17" t="s">
        <v>119</v>
      </c>
      <c r="B26" s="18" t="str">
        <f aca="false">INDEX('Character Sheet'!$B$4:$D$41,MATCH($A26,'Character Sheet'!$A$4:$A$41,0),MATCH($B$2,'Character Sheet'!$B$3:$D$3,0))</f>
        <v>gold and white</v>
      </c>
    </row>
    <row r="27" customFormat="false" ht="15" hidden="false" customHeight="false" outlineLevel="0" collapsed="false">
      <c r="A27" s="17" t="s">
        <v>123</v>
      </c>
      <c r="B27" s="18" t="str">
        <f aca="false">INDEX('Character Sheet'!$B$4:$D$41,MATCH($A27,'Character Sheet'!$A$4:$A$41,0),MATCH($B$2,'Character Sheet'!$B$3:$D$3,0))</f>
        <v>a trailing comet streak of sparks</v>
      </c>
    </row>
    <row r="28" customFormat="false" ht="15" hidden="false" customHeight="false" outlineLevel="0" collapsed="false">
      <c r="A28" s="17" t="s">
        <v>127</v>
      </c>
      <c r="B28" s="18" t="str">
        <f aca="false">INDEX('Character Sheet'!$B$4:$D$41,MATCH($A28,'Character Sheet'!$A$4:$A$41,0),MATCH($B$2,'Character Sheet'!$B$3:$D$3,0))</f>
        <v>none</v>
      </c>
    </row>
    <row r="29" customFormat="false" ht="15" hidden="false" customHeight="false" outlineLevel="0" collapsed="false">
      <c r="A29" s="17" t="s">
        <v>131</v>
      </c>
      <c r="B29" s="18" t="str">
        <f aca="false">INDEX('Character Sheet'!$B$4:$D$41,MATCH($A29,'Character Sheet'!$A$4:$A$41,0),MATCH($B$2,'Character Sheet'!$B$3:$D$3,0))</f>
        <v>crouched low, one fist forward, ready to sprint</v>
      </c>
    </row>
    <row r="30" customFormat="false" ht="15" hidden="false" customHeight="false" outlineLevel="0" collapsed="false">
      <c r="A30" s="17" t="s">
        <v>136</v>
      </c>
      <c r="B30" s="18" t="str">
        <f aca="false">INDEX('Character Sheet'!$B$4:$D$41,MATCH($A30,'Character Sheet'!$A$4:$A$41,0),MATCH($B$2,'Character Sheet'!$B$3:$D$3,0))</f>
        <v>brave, impatient, funny</v>
      </c>
    </row>
    <row r="31" customFormat="false" ht="15" hidden="false" customHeight="false" outlineLevel="0" collapsed="false">
      <c r="A31" s="17" t="s">
        <v>140</v>
      </c>
      <c r="B31" s="18" t="str">
        <f aca="false">INDEX('Character Sheet'!$B$4:$D$41,MATCH($A31,'Character Sheet'!$A$4:$A$41,0),MATCH($B$2,'Character Sheet'!$B$3:$D$3,0))</f>
        <v>quick, bouncy, always leaning forward</v>
      </c>
    </row>
    <row r="32" customFormat="false" ht="15" hidden="false" customHeight="false" outlineLevel="0" collapsed="false">
      <c r="A32" s="17" t="s">
        <v>145</v>
      </c>
      <c r="B32" s="18" t="str">
        <f aca="false">INDEX('Character Sheet'!$B$4:$D$41,MATCH($A32,'Character Sheet'!$A$4:$A$41,0),MATCH($B$2,'Character Sheet'!$B$3:$D$3,0))</f>
        <v>bright 3D animated film style, Pixar-like, soft rounded shapes</v>
      </c>
    </row>
    <row r="33" customFormat="false" ht="15" hidden="false" customHeight="false" outlineLevel="0" collapsed="false">
      <c r="A33" s="17" t="s">
        <v>148</v>
      </c>
      <c r="B33" s="18" t="str">
        <f aca="false">INDEX('Character Sheet'!$B$4:$D$41,MATCH($A33,'Character Sheet'!$A$4:$A$41,0),MATCH($B$2,'Character Sheet'!$B$3:$D$3,0))</f>
        <v>comet-kid-ref-01.png</v>
      </c>
    </row>
    <row r="34" customFormat="false" ht="15" hidden="false" customHeight="false" outlineLevel="0" collapsed="false">
      <c r="A34" s="17" t="s">
        <v>152</v>
      </c>
      <c r="B34" s="18" t="str">
        <f aca="false">INDEX('Character Sheet'!$B$4:$D$41,MATCH($A34,'Character Sheet'!$A$4:$A$41,0),MATCH($B$2,'Character Sheet'!$B$3:$D$3,0))</f>
        <v>(paste after generating)</v>
      </c>
    </row>
    <row r="35" customFormat="false" ht="15" hidden="false" customHeight="false" outlineLevel="0" collapsed="false">
      <c r="A35" s="17" t="s">
        <v>155</v>
      </c>
      <c r="B35" s="18" t="str">
        <f aca="false">INDEX('Character Sheet'!$B$4:$D$41,MATCH($A35,'Character Sheet'!$A$4:$A$41,0),MATCH($B$2,'Character Sheet'!$B$3:$D$3,0))</f>
        <v>16:9</v>
      </c>
    </row>
    <row r="36" customFormat="false" ht="15" hidden="false" customHeight="false" outlineLevel="0" collapsed="false">
      <c r="A36" s="17" t="s">
        <v>158</v>
      </c>
      <c r="B36" s="18" t="str">
        <f aca="false">INDEX('Character Sheet'!$B$4:$D$41,MATCH($A36,'Character Sheet'!$A$4:$A$41,0),MATCH($B$2,'Character Sheet'!$B$3:$D$3,0))</f>
        <v>emblem shape, cape length, mask colour</v>
      </c>
    </row>
    <row r="38" customFormat="false" ht="15" hidden="false" customHeight="true" outlineLevel="0" collapsed="false">
      <c r="A38" s="16" t="s">
        <v>166</v>
      </c>
      <c r="B38" s="16"/>
      <c r="C38" s="16"/>
    </row>
    <row r="39" customFormat="false" ht="15" hidden="false" customHeight="false" outlineLevel="0" collapsed="false">
      <c r="A39" s="19" t="s">
        <v>167</v>
      </c>
      <c r="B39" s="19" t="s">
        <v>168</v>
      </c>
      <c r="C39" s="19" t="s">
        <v>169</v>
      </c>
    </row>
    <row r="40" customFormat="false" ht="96" hidden="false" customHeight="true" outlineLevel="0" collapsed="false">
      <c r="A40" s="11" t="s">
        <v>170</v>
      </c>
      <c r="B40" s="20" t="str">
        <f aca="false">$B$2&amp;", "&amp;$B$7&amp;", "&amp;$B$8&amp;", "&amp;$B$9&amp;", "&amp;$B$10&amp;", "&amp;$B$12&amp;" "&amp;$B$11&amp;" hair, "&amp;$B$13&amp;" eyes"&amp;", wearing a "&amp;$B$18&amp;" "&amp;$B$15&amp;" superhero suit with "&amp;$B$16&amp;" and "&amp;$B$17&amp;", "&amp;$B$19&amp;" on the chest, "&amp;$B$20&amp;", "&amp;$B$21&amp;", "&amp;$B$22&amp;", "&amp;$B$23&amp;", "&amp;$B$24&amp;". Full body, standing straight in a relaxed A-pose, facing camera, arms slightly away from the body, both hands visible, "&amp;$B$14&amp;". Plain light grey studio background, soft even three-point lighting, no shadows on the backdrop, sharp focus, entire figure inside the frame with headroom. "&amp;$B$32&amp;"."</f>
        <v>Comet Kid, a fearless boy speedster who leaves a comet trail, small and wiry, child proportions, round face, freckles across the nose, fair skin, short and messy, swept forward sandy blond hair, bright blue eyes, wearing a matte stretch fabric deep cobalt blue superhero suit with white side panels and gold piping, a gold comet streaking across a white circle on the chest, short gold cape to the waist, blue domino mask, white gloves to the forearm, white boots with gold soles, gold belt with a round buckle. Full body, standing straight in a relaxed A-pose, facing camera, arms slightly away from the body, both hands visible, grinning, eager. Plain light grey studio background, soft even three-point lighting, no shadows on the backdrop, sharp focus, entire figure inside the frame with headroom. bright 3D animated film style, Pixar-like, soft rounded shapes.</v>
      </c>
      <c r="C40" s="13" t="s">
        <v>171</v>
      </c>
    </row>
    <row r="41" customFormat="false" ht="96" hidden="false" customHeight="true" outlineLevel="0" collapsed="false">
      <c r="A41" s="11" t="s">
        <v>172</v>
      </c>
      <c r="B41" s="20" t="str">
        <f aca="false">"character model sheet of "&amp;$B$2&amp;", "&amp;$B$8&amp;", "&amp;$B$9&amp;", "&amp;$B$10&amp;", "&amp;$B$12&amp;" "&amp;$B$11&amp;" hair, "&amp;$B$13&amp;" eyes"&amp;", wearing a "&amp;$B$18&amp;" "&amp;$B$15&amp;" superhero suit with "&amp;$B$16&amp;" and "&amp;$B$17&amp;", "&amp;$B$19&amp;" on the chest, "&amp;$B$20&amp;", "&amp;$B$21&amp;", "&amp;$B$22&amp;", "&amp;$B$23&amp;", "&amp;$B$24&amp;". Four full-body views in a row on one image: front, three-quarter, side, back. Identical pose, identical scale and identical costume in all four. Plain white background, flat even lighting, no shadows, orthographic framing. "&amp;$B$32&amp;"."</f>
        <v>character model sheet of Comet Kid, small and wiry, child proportions, round face, freckles across the nose, fair skin, short and messy, swept forward sandy blond hair, bright blue eyes, wearing a matte stretch fabric deep cobalt blue superhero suit with white side panels and gold piping, a gold comet streaking across a white circle on the chest, short gold cape to the waist, blue domino mask, white gloves to the forearm, white boots with gold soles, gold belt with a round buckle. Four full-body views in a row on one image: front, three-quarter, side, back. Identical pose, identical scale and identical costume in all four. Plain white background, flat even lighting, no shadows, orthographic framing. bright 3D animated film style, Pixar-like, soft rounded shapes.</v>
      </c>
      <c r="C41" s="13" t="s">
        <v>173</v>
      </c>
    </row>
    <row r="42" customFormat="false" ht="96" hidden="false" customHeight="true" outlineLevel="0" collapsed="false">
      <c r="A42" s="11" t="s">
        <v>174</v>
      </c>
      <c r="B42" s="20" t="str">
        <f aca="false">"expression sheet of "&amp;$B$2&amp;", head and shoulders only, "&amp;$B$9&amp;", "&amp;$B$12&amp;" "&amp;$B$11&amp;" hair, "&amp;$B$13&amp;" eyes, "&amp;$B$21&amp;". Six portraits in a two by three grid: happy, surprised, determined, laughing, worried, sleepy. Same face, same lighting and same angle in every panel. Plain white background. "&amp;$B$32&amp;"."</f>
        <v>expression sheet of Comet Kid, head and shoulders only, round face, freckles across the nose, short and messy, swept forward sandy blond hair, bright blue eyes, blue domino mask. Six portraits in a two by three grid: happy, surprised, determined, laughing, worried, sleepy. Same face, same lighting and same angle in every panel. Plain white background. bright 3D animated film style, Pixar-like, soft rounded shapes.</v>
      </c>
      <c r="C42" s="13" t="s">
        <v>175</v>
      </c>
    </row>
    <row r="43" customFormat="false" ht="96" hidden="false" customHeight="true" outlineLevel="0" collapsed="false">
      <c r="A43" s="11" t="s">
        <v>176</v>
      </c>
      <c r="B43" s="20" t="str">
        <f aca="false">"costume detail sheet for "&amp;$B$2&amp;": close-up studies of "&amp;$B$19&amp;", "&amp;$B$22&amp;", "&amp;$B$23&amp;", and "&amp;$B$24&amp;", all in "&amp;$B$18&amp;" "&amp;$B$15&amp;" with "&amp;$B$17&amp;". Laid out on a plain white background with even lighting, no character present. "&amp;$B$32&amp;"."</f>
        <v>costume detail sheet for Comet Kid: close-up studies of a gold comet streaking across a white circle, white gloves to the forearm, white boots with gold soles, and gold belt with a round buckle, all in matte stretch fabric deep cobalt blue with gold piping. Laid out on a plain white background with even lighting, no character present. bright 3D animated film style, Pixar-like, soft rounded shapes.</v>
      </c>
      <c r="C43" s="13" t="s">
        <v>177</v>
      </c>
    </row>
    <row r="44" customFormat="false" ht="96" hidden="false" customHeight="true" outlineLevel="0" collapsed="false">
      <c r="A44" s="11" t="s">
        <v>178</v>
      </c>
      <c r="B44" s="20" t="str">
        <f aca="false">$B$2&amp;", "&amp;$B$7&amp;", "&amp;$B$8&amp;", "&amp;$B$9&amp;", "&amp;$B$10&amp;", "&amp;$B$12&amp;" "&amp;$B$11&amp;" hair, "&amp;$B$13&amp;" eyes"&amp;", wearing a "&amp;$B$18&amp;" "&amp;$B$15&amp;" superhero suit with "&amp;$B$16&amp;" and "&amp;$B$17&amp;", "&amp;$B$19&amp;" on the chest, "&amp;$B$20&amp;", "&amp;$B$21&amp;", "&amp;$B$22&amp;", "&amp;$B$23&amp;", "&amp;$B$24&amp;". "&amp;$B$29&amp;", "&amp;$B$27&amp;" in "&amp;$B$26&amp;" around "&amp;$B$2&amp;". Low angle hero shot, wide lens, dramatic rim light from behind, city rooftop at golden hour, shallow depth of field. "&amp;$B$32&amp;"."</f>
        <v>Comet Kid, a fearless boy speedster who leaves a comet trail, small and wiry, child proportions, round face, freckles across the nose, fair skin, short and messy, swept forward sandy blond hair, bright blue eyes, wearing a matte stretch fabric deep cobalt blue superhero suit with white side panels and gold piping, a gold comet streaking across a white circle on the chest, short gold cape to the waist, blue domino mask, white gloves to the forearm, white boots with gold soles, gold belt with a round buckle. crouched low, one fist forward, ready to sprint, a trailing comet streak of sparks in gold and white around Comet Kid. Low angle hero shot, wide lens, dramatic rim light from behind, city rooftop at golden hour, shallow depth of field. bright 3D animated film style, Pixar-like, soft rounded shapes.</v>
      </c>
      <c r="C44" s="13" t="s">
        <v>179</v>
      </c>
    </row>
    <row r="45" customFormat="false" ht="96" hidden="false" customHeight="true" outlineLevel="0" collapsed="false">
      <c r="A45" s="11" t="s">
        <v>180</v>
      </c>
      <c r="B45" s="20" t="str">
        <f aca="false">$B$2&amp;" moves in character: "&amp;$B$31&amp;", with "&amp;$B$27&amp;" in "&amp;$B$26&amp;" streaming behind. Camera slowly pushes in. The character, the costume and the colours stay exactly as in the reference image. Smooth natural motion, consistent lighting throughout."</f>
        <v>Comet Kid moves in character: quick, bouncy, always leaning forward, with a trailing comet streak of sparks in gold and white streaming behind. Camera slowly pushes in. The character, the costume and the colours stay exactly as in the reference image. Smooth natural motion, consistent lighting throughout.</v>
      </c>
      <c r="C45" s="13" t="s">
        <v>181</v>
      </c>
    </row>
    <row r="46" customFormat="false" ht="96" hidden="false" customHeight="true" outlineLevel="0" collapsed="false">
      <c r="A46" s="11" t="s">
        <v>182</v>
      </c>
      <c r="B46" s="20" t="str">
        <f aca="false">$B$2&amp;" and a second hero standing side by side, both in full costume, matched scale and matched lighting, facing camera, "&amp;$B$14&amp;". Plain light grey studio background, soft even lighting, both figures fully in frame. "&amp;$B$32&amp;"."</f>
        <v>Comet Kid and a second hero standing side by side, both in full costume, matched scale and matched lighting, facing camera, grinning, eager. Plain light grey studio background, soft even lighting, both figures fully in frame. bright 3D animated film style, Pixar-like, soft rounded shapes.</v>
      </c>
      <c r="C46" s="13" t="s">
        <v>183</v>
      </c>
    </row>
    <row r="48" customFormat="false" ht="45.75" hidden="false" customHeight="true" outlineLevel="0" collapsed="false">
      <c r="A48" s="11" t="s">
        <v>184</v>
      </c>
      <c r="B48" s="20" t="str">
        <f aca="false">'Negative Prompts'!$B$4</f>
        <v>extra fingers, extra limbs, deformed hands, fused fingers, missing limbs, distorted face, asymmetrical eyes, adult body, teenager, elongated adult proportions, mature facial features, changed costume, different emblem, colour shift, inconsistent hair, wrong eye colour, added accessories, cropped head, cropped feet, cut off limbs, subject out of frame, multiple characters, duplicate character, blurry, low resolution, jpeg artifacts, oversaturated, heavy grain, watermark, text, logo, signature, caption, scary, gore, blood, weapons, violence, dark horror lighting, menacing expression, flickering, warping, morphing face, jittery limbs, sudden cuts, camera shake, stuttering</v>
      </c>
      <c r="C48" s="13" t="s">
        <v>185</v>
      </c>
    </row>
  </sheetData>
  <mergeCells count="3">
    <mergeCell ref="A1:C1"/>
    <mergeCell ref="A4:C4"/>
    <mergeCell ref="A38:C38"/>
  </mergeCells>
  <dataValidations count="1">
    <dataValidation allowBlank="false" errorStyle="stop" operator="between" showDropDown="false" showErrorMessage="false" showInputMessage="false" sqref="B2" type="list">
      <formula1>'Character Sheet'!$B$3:$D$3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24"/>
    <col collapsed="false" customWidth="true" hidden="false" outlineLevel="0" max="4" min="4" style="0" width="26"/>
    <col collapsed="false" customWidth="true" hidden="false" outlineLevel="0" max="5" min="5" style="0" width="78"/>
    <col collapsed="false" customWidth="true" hidden="false" outlineLevel="0" max="7" min="6" style="0" width="9"/>
    <col collapsed="false" customWidth="true" hidden="false" outlineLevel="0" max="8" min="8" style="0" width="14"/>
    <col collapsed="false" customWidth="true" hidden="false" outlineLevel="0" max="9" min="9" style="0" width="12"/>
  </cols>
  <sheetData>
    <row r="1" customFormat="false" ht="30" hidden="false" customHeight="true" outlineLevel="0" collapsed="false">
      <c r="A1" s="1" t="s">
        <v>186</v>
      </c>
      <c r="B1" s="1"/>
      <c r="C1" s="1"/>
      <c r="D1" s="1"/>
      <c r="E1" s="1"/>
      <c r="F1" s="1"/>
      <c r="G1" s="1"/>
      <c r="H1" s="1"/>
      <c r="I1" s="1"/>
    </row>
    <row r="2" customFormat="false" ht="15.75" hidden="false" customHeight="true" outlineLevel="0" collapsed="false">
      <c r="A2" s="8" t="s">
        <v>187</v>
      </c>
    </row>
    <row r="3" customFormat="false" ht="21.75" hidden="false" customHeight="true" outlineLevel="0" collapsed="false">
      <c r="A3" s="9" t="s">
        <v>188</v>
      </c>
      <c r="B3" s="9" t="s">
        <v>189</v>
      </c>
      <c r="C3" s="9" t="s">
        <v>190</v>
      </c>
      <c r="D3" s="9" t="s">
        <v>191</v>
      </c>
      <c r="E3" s="9" t="s">
        <v>192</v>
      </c>
      <c r="F3" s="9" t="s">
        <v>193</v>
      </c>
      <c r="G3" s="9" t="s">
        <v>194</v>
      </c>
      <c r="H3" s="9" t="s">
        <v>195</v>
      </c>
      <c r="I3" s="9" t="s">
        <v>196</v>
      </c>
    </row>
    <row r="4" customFormat="false" ht="57.75" hidden="false" customHeight="true" outlineLevel="0" collapsed="false">
      <c r="A4" s="21" t="n">
        <v>1</v>
      </c>
      <c r="B4" s="11" t="s">
        <v>197</v>
      </c>
      <c r="C4" s="12" t="s">
        <v>198</v>
      </c>
      <c r="D4" s="12" t="s">
        <v>199</v>
      </c>
      <c r="E4" s="20" t="str">
        <f aca="false">"The character from the reference image "&amp;$C4&amp;", "&amp;$D4&amp;". "&amp;'Prompt Builder'!$B$2&amp;" moves in character: "&amp;'Prompt Builder'!$B$31&amp;". Costume, colours and face stay exactly as the reference image. "&amp;"Smooth natural motion, consistent lighting, no cuts."</f>
        <v>The character from the reference image stands still and looks up at the sky, cape and hair moving in the breeze, slow push in, eye level. Comet Kid moves in character: quick, bouncy, always leaning forward. Costume, colours and face stay exactly as the reference image. Smooth natural motion, consistent lighting, no cuts.</v>
      </c>
      <c r="F4" s="21" t="n">
        <v>5</v>
      </c>
      <c r="G4" s="21" t="s">
        <v>156</v>
      </c>
      <c r="H4" s="21" t="s">
        <v>200</v>
      </c>
      <c r="I4" s="22" t="s">
        <v>201</v>
      </c>
    </row>
    <row r="5" customFormat="false" ht="57.75" hidden="false" customHeight="true" outlineLevel="0" collapsed="false">
      <c r="A5" s="21" t="n">
        <v>2</v>
      </c>
      <c r="B5" s="11" t="s">
        <v>202</v>
      </c>
      <c r="C5" s="12" t="s">
        <v>203</v>
      </c>
      <c r="D5" s="12" t="s">
        <v>204</v>
      </c>
      <c r="E5" s="20" t="str">
        <f aca="false">"The character from the reference image "&amp;$C5&amp;", "&amp;$D5&amp;". "&amp;'Prompt Builder'!$B$2&amp;" moves in character: "&amp;'Prompt Builder'!$B$31&amp;". Costume, colours and face stay exactly as the reference image. "&amp;"Smooth natural motion, consistent lighting, no cuts."</f>
        <v>The character from the reference image turns their head to camera and breaks into a grin, static close-up, eye level. Comet Kid moves in character: quick, bouncy, always leaning forward. Costume, colours and face stay exactly as the reference image. Smooth natural motion, consistent lighting, no cuts.</v>
      </c>
      <c r="F5" s="21" t="n">
        <v>5</v>
      </c>
      <c r="G5" s="21" t="s">
        <v>156</v>
      </c>
      <c r="H5" s="21" t="s">
        <v>205</v>
      </c>
      <c r="I5" s="22" t="s">
        <v>201</v>
      </c>
    </row>
    <row r="6" customFormat="false" ht="57.75" hidden="false" customHeight="true" outlineLevel="0" collapsed="false">
      <c r="A6" s="21" t="n">
        <v>3</v>
      </c>
      <c r="B6" s="11" t="s">
        <v>206</v>
      </c>
      <c r="C6" s="12" t="s">
        <v>207</v>
      </c>
      <c r="D6" s="12" t="s">
        <v>208</v>
      </c>
      <c r="E6" s="20" t="str">
        <f aca="false">"The character from the reference image "&amp;$C6&amp;", "&amp;$D6&amp;". "&amp;'Prompt Builder'!$B$2&amp;" moves in character: "&amp;'Prompt Builder'!$B$31&amp;". Costume, colours and face stay exactly as the reference image. "&amp;"Smooth natural motion, consistent lighting, no cuts."</f>
        <v>The character from the reference image raises both arms as the effect builds and swirls around them, slow orbit to the left, low angle. Comet Kid moves in character: quick, bouncy, always leaning forward. Costume, colours and face stay exactly as the reference image. Smooth natural motion, consistent lighting, no cuts.</v>
      </c>
      <c r="F6" s="21" t="n">
        <v>5</v>
      </c>
      <c r="G6" s="21" t="s">
        <v>156</v>
      </c>
      <c r="H6" s="21" t="s">
        <v>205</v>
      </c>
      <c r="I6" s="22" t="s">
        <v>201</v>
      </c>
    </row>
    <row r="7" customFormat="false" ht="57.75" hidden="false" customHeight="true" outlineLevel="0" collapsed="false">
      <c r="A7" s="21" t="n">
        <v>4</v>
      </c>
      <c r="B7" s="11" t="s">
        <v>209</v>
      </c>
      <c r="C7" s="12" t="s">
        <v>210</v>
      </c>
      <c r="D7" s="12" t="s">
        <v>211</v>
      </c>
      <c r="E7" s="20" t="str">
        <f aca="false">"The character from the reference image "&amp;$C7&amp;", "&amp;$D7&amp;". "&amp;'Prompt Builder'!$B$2&amp;" moves in character: "&amp;'Prompt Builder'!$B$31&amp;". Costume, colours and face stay exactly as the reference image. "&amp;"Smooth natural motion, consistent lighting, no cuts."</f>
        <v>The character from the reference image crouches, then launches upward out of the top of the frame, static wide, low angle, tilts up to follow. Comet Kid moves in character: quick, bouncy, always leaning forward. Costume, colours and face stay exactly as the reference image. Smooth natural motion, consistent lighting, no cuts.</v>
      </c>
      <c r="F7" s="21" t="n">
        <v>5</v>
      </c>
      <c r="G7" s="21" t="s">
        <v>156</v>
      </c>
      <c r="H7" s="21" t="s">
        <v>205</v>
      </c>
      <c r="I7" s="22" t="s">
        <v>201</v>
      </c>
    </row>
    <row r="8" customFormat="false" ht="57.75" hidden="false" customHeight="true" outlineLevel="0" collapsed="false">
      <c r="A8" s="21" t="n">
        <v>5</v>
      </c>
      <c r="B8" s="11" t="s">
        <v>212</v>
      </c>
      <c r="C8" s="12" t="s">
        <v>213</v>
      </c>
      <c r="D8" s="12" t="s">
        <v>214</v>
      </c>
      <c r="E8" s="20" t="str">
        <f aca="false">"The character from the reference image "&amp;$C8&amp;", "&amp;$D8&amp;". "&amp;'Prompt Builder'!$B$2&amp;" moves in character: "&amp;'Prompt Builder'!$B$31&amp;". Costume, colours and face stay exactly as the reference image. "&amp;"Smooth natural motion, consistent lighting, no cuts."</f>
        <v>The character from the reference image flies toward camera, effect streaming behind, clouds rushing past, camera tracks backwards ahead of them. Comet Kid moves in character: quick, bouncy, always leaning forward. Costume, colours and face stay exactly as the reference image. Smooth natural motion, consistent lighting, no cuts.</v>
      </c>
      <c r="F8" s="21" t="n">
        <v>10</v>
      </c>
      <c r="G8" s="21" t="s">
        <v>156</v>
      </c>
      <c r="H8" s="21" t="s">
        <v>205</v>
      </c>
      <c r="I8" s="22" t="s">
        <v>201</v>
      </c>
    </row>
    <row r="9" customFormat="false" ht="57.75" hidden="false" customHeight="true" outlineLevel="0" collapsed="false">
      <c r="A9" s="21" t="n">
        <v>6</v>
      </c>
      <c r="B9" s="11" t="s">
        <v>215</v>
      </c>
      <c r="C9" s="12" t="s">
        <v>216</v>
      </c>
      <c r="D9" s="12" t="s">
        <v>217</v>
      </c>
      <c r="E9" s="20" t="str">
        <f aca="false">"The character from the reference image "&amp;$C9&amp;", "&amp;$D9&amp;". "&amp;'Prompt Builder'!$B$2&amp;" moves in character: "&amp;'Prompt Builder'!$B$31&amp;". Costume, colours and face stay exactly as the reference image. "&amp;"Smooth natural motion, consistent lighting, no cuts."</f>
        <v>The character from the reference image lands hard in a crouch, one fist to the ground, dust ring spreading outward, static low angle wide, slight shake on impact. Comet Kid moves in character: quick, bouncy, always leaning forward. Costume, colours and face stay exactly as the reference image. Smooth natural motion, consistent lighting, no cuts.</v>
      </c>
      <c r="F9" s="21" t="n">
        <v>5</v>
      </c>
      <c r="G9" s="21" t="s">
        <v>156</v>
      </c>
      <c r="H9" s="21" t="s">
        <v>205</v>
      </c>
      <c r="I9" s="22" t="s">
        <v>201</v>
      </c>
    </row>
    <row r="10" customFormat="false" ht="57.75" hidden="false" customHeight="true" outlineLevel="0" collapsed="false">
      <c r="A10" s="21" t="n">
        <v>7</v>
      </c>
      <c r="B10" s="11" t="s">
        <v>218</v>
      </c>
      <c r="C10" s="12" t="s">
        <v>219</v>
      </c>
      <c r="D10" s="12" t="s">
        <v>220</v>
      </c>
      <c r="E10" s="20" t="str">
        <f aca="false">"The character from the reference image "&amp;$C10&amp;", "&amp;$D10&amp;". "&amp;'Prompt Builder'!$B$2&amp;" moves in character: "&amp;'Prompt Builder'!$B$31&amp;". Costume, colours and face stay exactly as the reference image. "&amp;"Smooth natural motion, consistent lighting, no cuts."</f>
        <v>The character from the reference image catches a falling object, hugs it safe to their chest and looks relieved, medium shot, slow push in. Comet Kid moves in character: quick, bouncy, always leaning forward. Costume, colours and face stay exactly as the reference image. Smooth natural motion, consistent lighting, no cuts.</v>
      </c>
      <c r="F10" s="21" t="n">
        <v>5</v>
      </c>
      <c r="G10" s="21" t="s">
        <v>156</v>
      </c>
      <c r="H10" s="21" t="s">
        <v>205</v>
      </c>
      <c r="I10" s="22" t="s">
        <v>201</v>
      </c>
    </row>
    <row r="11" customFormat="false" ht="57.75" hidden="false" customHeight="true" outlineLevel="0" collapsed="false">
      <c r="A11" s="21" t="n">
        <v>8</v>
      </c>
      <c r="B11" s="11" t="s">
        <v>221</v>
      </c>
      <c r="C11" s="12" t="s">
        <v>222</v>
      </c>
      <c r="D11" s="12" t="s">
        <v>223</v>
      </c>
      <c r="E11" s="20" t="str">
        <f aca="false">"The character from the reference image "&amp;$C11&amp;", "&amp;$D11&amp;". "&amp;'Prompt Builder'!$B$2&amp;" moves in character: "&amp;'Prompt Builder'!$B$31&amp;". Costume, colours and face stay exactly as the reference image. "&amp;"Smooth natural motion, consistent lighting, no cuts."</f>
        <v>The character from the reference image the two heroes bump fists and turn to face camera together, static medium two-shot, eye level. Comet Kid moves in character: quick, bouncy, always leaning forward. Costume, colours and face stay exactly as the reference image. Smooth natural motion, consistent lighting, no cuts.</v>
      </c>
      <c r="F11" s="21" t="n">
        <v>5</v>
      </c>
      <c r="G11" s="21" t="s">
        <v>156</v>
      </c>
      <c r="H11" s="21" t="s">
        <v>205</v>
      </c>
      <c r="I11" s="22" t="s">
        <v>201</v>
      </c>
    </row>
    <row r="12" customFormat="false" ht="57.75" hidden="false" customHeight="true" outlineLevel="0" collapsed="false">
      <c r="A12" s="21" t="n">
        <v>9</v>
      </c>
      <c r="B12" s="11" t="s">
        <v>224</v>
      </c>
      <c r="C12" s="12" t="s">
        <v>225</v>
      </c>
      <c r="D12" s="12" t="s">
        <v>226</v>
      </c>
      <c r="E12" s="20" t="str">
        <f aca="false">"The character from the reference image "&amp;$C12&amp;", "&amp;$D12&amp;". "&amp;'Prompt Builder'!$B$2&amp;" moves in character: "&amp;'Prompt Builder'!$B$31&amp;". Costume, colours and face stay exactly as the reference image. "&amp;"Smooth natural motion, consistent lighting, no cuts."</f>
        <v>The character from the reference image laughs and punches the air, effect bursting outward, slow pull back to a wide shot. Comet Kid moves in character: quick, bouncy, always leaning forward. Costume, colours and face stay exactly as the reference image. Smooth natural motion, consistent lighting, no cuts.</v>
      </c>
      <c r="F12" s="21" t="n">
        <v>5</v>
      </c>
      <c r="G12" s="21" t="s">
        <v>156</v>
      </c>
      <c r="H12" s="21" t="s">
        <v>200</v>
      </c>
      <c r="I12" s="22" t="s">
        <v>201</v>
      </c>
    </row>
    <row r="13" customFormat="false" ht="57.75" hidden="false" customHeight="true" outlineLevel="0" collapsed="false">
      <c r="A13" s="21" t="n">
        <v>10</v>
      </c>
      <c r="B13" s="11" t="s">
        <v>227</v>
      </c>
      <c r="C13" s="12" t="s">
        <v>228</v>
      </c>
      <c r="D13" s="12" t="s">
        <v>229</v>
      </c>
      <c r="E13" s="20" t="str">
        <f aca="false">"The character from the reference image "&amp;$C13&amp;", "&amp;$D13&amp;". "&amp;'Prompt Builder'!$B$2&amp;" moves in character: "&amp;'Prompt Builder'!$B$31&amp;". Costume, colours and face stay exactly as the reference image. "&amp;"Smooth natural motion, consistent lighting, no cuts."</f>
        <v>The character from the reference image walks away from camera into the light, cape swinging, static wide, low angle. Comet Kid moves in character: quick, bouncy, always leaning forward. Costume, colours and face stay exactly as the reference image. Smooth natural motion, consistent lighting, no cuts.</v>
      </c>
      <c r="F13" s="21" t="n">
        <v>10</v>
      </c>
      <c r="G13" s="21" t="s">
        <v>156</v>
      </c>
      <c r="H13" s="21" t="s">
        <v>205</v>
      </c>
      <c r="I13" s="22" t="s">
        <v>201</v>
      </c>
    </row>
    <row r="14" customFormat="false" ht="57.75" hidden="false" customHeight="true" outlineLevel="0" collapsed="false">
      <c r="A14" s="21" t="n">
        <v>11</v>
      </c>
      <c r="B14" s="11" t="s">
        <v>230</v>
      </c>
      <c r="C14" s="12" t="s">
        <v>231</v>
      </c>
      <c r="D14" s="12" t="s">
        <v>199</v>
      </c>
      <c r="E14" s="20" t="str">
        <f aca="false">"The character from the reference image "&amp;$C14&amp;", "&amp;$D14&amp;". "&amp;'Prompt Builder'!$B$2&amp;" moves in character: "&amp;'Prompt Builder'!$B$31&amp;". Costume, colours and face stay exactly as the reference image. "&amp;"Smooth natural motion, consistent lighting, no cuts."</f>
        <v>The character from the reference image poses, arms folded, effect glowing steadily around them, slow push in, eye level. Comet Kid moves in character: quick, bouncy, always leaning forward. Costume, colours and face stay exactly as the reference image. Smooth natural motion, consistent lighting, no cuts.</v>
      </c>
      <c r="F14" s="21" t="n">
        <v>5</v>
      </c>
      <c r="G14" s="21" t="s">
        <v>232</v>
      </c>
      <c r="H14" s="21" t="s">
        <v>200</v>
      </c>
      <c r="I14" s="22" t="s">
        <v>201</v>
      </c>
    </row>
    <row r="15" customFormat="false" ht="57.75" hidden="false" customHeight="true" outlineLevel="0" collapsed="false">
      <c r="A15" s="21" t="n">
        <v>12</v>
      </c>
      <c r="B15" s="11" t="s">
        <v>233</v>
      </c>
      <c r="C15" s="12" t="s">
        <v>234</v>
      </c>
      <c r="D15" s="12" t="s">
        <v>235</v>
      </c>
      <c r="E15" s="20" t="str">
        <f aca="false">"The character from the reference image "&amp;$C15&amp;", "&amp;$D15&amp;". "&amp;'Prompt Builder'!$B$2&amp;" moves in character: "&amp;'Prompt Builder'!$B$31&amp;". Costume, colours and face stay exactly as the reference image. "&amp;"Smooth natural motion, consistent lighting, no cuts."</f>
        <v>The character from the reference image stands motionless as the effect drifts slowly across the frame, very slow drift to the right. Comet Kid moves in character: quick, bouncy, always leaning forward. Costume, colours and face stay exactly as the reference image. Smooth natural motion, consistent lighting, no cuts.</v>
      </c>
      <c r="F15" s="21" t="n">
        <v>5</v>
      </c>
      <c r="G15" s="21" t="s">
        <v>236</v>
      </c>
      <c r="H15" s="21" t="s">
        <v>200</v>
      </c>
      <c r="I15" s="22" t="s">
        <v>201</v>
      </c>
    </row>
    <row r="16" customFormat="false" ht="15" hidden="false" customHeight="false" outlineLevel="0" collapsed="false">
      <c r="E16" s="23" t="s">
        <v>237</v>
      </c>
      <c r="F16" s="24" t="n">
        <f aca="false">SUM(F4:F15)</f>
        <v>70</v>
      </c>
      <c r="H16" s="24" t="str">
        <f aca="false">COUNTIF(I4:I15,"Done")&amp;" of "&amp;COUNTA(I4:I15)&amp;" done"</f>
        <v>0 of 12 done</v>
      </c>
    </row>
  </sheetData>
  <mergeCells count="1">
    <mergeCell ref="A1:I1"/>
  </mergeCells>
  <dataValidations count="1">
    <dataValidation allowBlank="true" errorStyle="stop" operator="between" showDropDown="false" showErrorMessage="false" showInputMessage="false" sqref="I4:I15" type="list">
      <formula1>"To do,Rendering,Keep,Redo,Done"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7" min="1" style="0" width="30"/>
  </cols>
  <sheetData>
    <row r="1" customFormat="false" ht="30" hidden="false" customHeight="true" outlineLevel="0" collapsed="false">
      <c r="A1" s="1" t="s">
        <v>238</v>
      </c>
      <c r="B1" s="1"/>
      <c r="C1" s="1"/>
      <c r="D1" s="1"/>
      <c r="E1" s="1"/>
      <c r="F1" s="1"/>
      <c r="G1" s="1"/>
    </row>
    <row r="2" customFormat="false" ht="15" hidden="false" customHeight="false" outlineLevel="0" collapsed="false">
      <c r="A2" s="8" t="s">
        <v>239</v>
      </c>
    </row>
    <row r="3" customFormat="false" ht="15" hidden="false" customHeight="false" outlineLevel="0" collapsed="false">
      <c r="A3" s="9" t="s">
        <v>240</v>
      </c>
      <c r="B3" s="9" t="s">
        <v>241</v>
      </c>
      <c r="C3" s="9" t="s">
        <v>242</v>
      </c>
      <c r="D3" s="9" t="s">
        <v>243</v>
      </c>
      <c r="E3" s="9" t="s">
        <v>244</v>
      </c>
      <c r="F3" s="9" t="s">
        <v>245</v>
      </c>
      <c r="G3" s="9" t="s">
        <v>246</v>
      </c>
    </row>
    <row r="4" customFormat="false" ht="18" hidden="false" customHeight="true" outlineLevel="0" collapsed="false">
      <c r="A4" s="25" t="s">
        <v>247</v>
      </c>
      <c r="B4" s="25" t="s">
        <v>248</v>
      </c>
      <c r="C4" s="25" t="s">
        <v>249</v>
      </c>
      <c r="D4" s="25" t="s">
        <v>250</v>
      </c>
      <c r="E4" s="25" t="s">
        <v>251</v>
      </c>
      <c r="F4" s="25" t="s">
        <v>252</v>
      </c>
      <c r="G4" s="25" t="s">
        <v>253</v>
      </c>
    </row>
    <row r="5" customFormat="false" ht="18" hidden="false" customHeight="true" outlineLevel="0" collapsed="false">
      <c r="A5" s="25" t="s">
        <v>254</v>
      </c>
      <c r="B5" s="25" t="s">
        <v>255</v>
      </c>
      <c r="C5" s="25" t="s">
        <v>256</v>
      </c>
      <c r="D5" s="25" t="s">
        <v>257</v>
      </c>
      <c r="E5" s="25" t="s">
        <v>258</v>
      </c>
      <c r="F5" s="25" t="s">
        <v>259</v>
      </c>
      <c r="G5" s="25" t="s">
        <v>260</v>
      </c>
    </row>
    <row r="6" customFormat="false" ht="18" hidden="false" customHeight="true" outlineLevel="0" collapsed="false">
      <c r="A6" s="25" t="s">
        <v>261</v>
      </c>
      <c r="B6" s="25" t="s">
        <v>262</v>
      </c>
      <c r="C6" s="25" t="s">
        <v>263</v>
      </c>
      <c r="D6" s="25" t="s">
        <v>264</v>
      </c>
      <c r="E6" s="25" t="s">
        <v>265</v>
      </c>
      <c r="F6" s="25" t="s">
        <v>266</v>
      </c>
      <c r="G6" s="25" t="s">
        <v>267</v>
      </c>
    </row>
    <row r="7" customFormat="false" ht="18" hidden="false" customHeight="true" outlineLevel="0" collapsed="false">
      <c r="A7" s="25" t="s">
        <v>268</v>
      </c>
      <c r="B7" s="25" t="s">
        <v>269</v>
      </c>
      <c r="C7" s="25" t="s">
        <v>270</v>
      </c>
      <c r="D7" s="25" t="s">
        <v>271</v>
      </c>
      <c r="E7" s="25" t="s">
        <v>272</v>
      </c>
      <c r="F7" s="25" t="s">
        <v>273</v>
      </c>
      <c r="G7" s="25" t="s">
        <v>274</v>
      </c>
    </row>
    <row r="8" customFormat="false" ht="18" hidden="false" customHeight="true" outlineLevel="0" collapsed="false">
      <c r="A8" s="25" t="s">
        <v>275</v>
      </c>
      <c r="B8" s="25" t="s">
        <v>276</v>
      </c>
      <c r="C8" s="25" t="s">
        <v>277</v>
      </c>
      <c r="D8" s="25" t="s">
        <v>278</v>
      </c>
      <c r="E8" s="25" t="s">
        <v>279</v>
      </c>
      <c r="F8" s="25" t="s">
        <v>280</v>
      </c>
      <c r="G8" s="25" t="s">
        <v>281</v>
      </c>
    </row>
    <row r="9" customFormat="false" ht="18" hidden="false" customHeight="true" outlineLevel="0" collapsed="false">
      <c r="A9" s="25" t="s">
        <v>282</v>
      </c>
      <c r="B9" s="25" t="s">
        <v>283</v>
      </c>
      <c r="C9" s="25" t="s">
        <v>284</v>
      </c>
      <c r="D9" s="25" t="s">
        <v>285</v>
      </c>
      <c r="E9" s="25" t="s">
        <v>286</v>
      </c>
      <c r="F9" s="25" t="s">
        <v>287</v>
      </c>
      <c r="G9" s="25" t="s">
        <v>288</v>
      </c>
    </row>
    <row r="10" customFormat="false" ht="18" hidden="false" customHeight="true" outlineLevel="0" collapsed="false">
      <c r="A10" s="25" t="s">
        <v>289</v>
      </c>
      <c r="B10" s="25" t="s">
        <v>290</v>
      </c>
      <c r="C10" s="25" t="s">
        <v>291</v>
      </c>
      <c r="D10" s="25" t="s">
        <v>292</v>
      </c>
      <c r="E10" s="25" t="s">
        <v>293</v>
      </c>
      <c r="F10" s="25" t="s">
        <v>294</v>
      </c>
      <c r="G10" s="25" t="s">
        <v>295</v>
      </c>
    </row>
    <row r="11" customFormat="false" ht="18" hidden="false" customHeight="true" outlineLevel="0" collapsed="false">
      <c r="A11" s="25" t="s">
        <v>296</v>
      </c>
      <c r="B11" s="25" t="s">
        <v>297</v>
      </c>
      <c r="C11" s="25" t="s">
        <v>298</v>
      </c>
      <c r="D11" s="25" t="s">
        <v>299</v>
      </c>
      <c r="E11" s="25" t="s">
        <v>300</v>
      </c>
      <c r="F11" s="25" t="s">
        <v>301</v>
      </c>
      <c r="G11" s="25" t="s">
        <v>302</v>
      </c>
    </row>
    <row r="12" customFormat="false" ht="18" hidden="false" customHeight="true" outlineLevel="0" collapsed="false">
      <c r="A12" s="25" t="s">
        <v>303</v>
      </c>
      <c r="B12" s="25" t="s">
        <v>304</v>
      </c>
      <c r="C12" s="25" t="s">
        <v>305</v>
      </c>
      <c r="D12" s="25" t="s">
        <v>306</v>
      </c>
      <c r="E12" s="25" t="s">
        <v>307</v>
      </c>
      <c r="F12" s="25" t="s">
        <v>308</v>
      </c>
      <c r="G12" s="25" t="s">
        <v>309</v>
      </c>
    </row>
    <row r="13" customFormat="false" ht="18" hidden="false" customHeight="true" outlineLevel="0" collapsed="false">
      <c r="A13" s="25" t="s">
        <v>310</v>
      </c>
      <c r="B13" s="25" t="s">
        <v>311</v>
      </c>
      <c r="C13" s="25" t="s">
        <v>312</v>
      </c>
      <c r="D13" s="25" t="s">
        <v>313</v>
      </c>
      <c r="E13" s="25" t="s">
        <v>314</v>
      </c>
      <c r="F13" s="25" t="s">
        <v>315</v>
      </c>
      <c r="G13" s="25" t="s">
        <v>316</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96"/>
    <col collapsed="false" customWidth="true" hidden="false" outlineLevel="0" max="3" min="3" style="0" width="44"/>
  </cols>
  <sheetData>
    <row r="1" customFormat="false" ht="30" hidden="false" customHeight="true" outlineLevel="0" collapsed="false">
      <c r="A1" s="1" t="s">
        <v>317</v>
      </c>
      <c r="B1" s="1"/>
      <c r="C1" s="1"/>
    </row>
    <row r="3" customFormat="false" ht="15" hidden="false" customHeight="false" outlineLevel="0" collapsed="false">
      <c r="A3" s="26" t="s">
        <v>318</v>
      </c>
      <c r="C3" s="27" t="s">
        <v>319</v>
      </c>
    </row>
    <row r="4" customFormat="false" ht="78" hidden="false" customHeight="true" outlineLevel="0" collapsed="false">
      <c r="A4" s="28"/>
      <c r="B4" s="20" t="str">
        <f aca="false">_xlfn.TEXTJOIN(", ",TRUE(),$B$7:$B$13)</f>
        <v>extra fingers, extra limbs, deformed hands, fused fingers, missing limbs, distorted face, asymmetrical eyes, adult body, teenager, elongated adult proportions, mature facial features, changed costume, different emblem, colour shift, inconsistent hair, wrong eye colour, added accessories, cropped head, cropped feet, cut off limbs, subject out of frame, multiple characters, duplicate character, blurry, low resolution, jpeg artifacts, oversaturated, heavy grain, watermark, text, logo, signature, caption, scary, gore, blood, weapons, violence, dark horror lighting, menacing expression, flickering, warping, morphing face, jittery limbs, sudden cuts, camera shake, stuttering</v>
      </c>
      <c r="C4" s="13" t="s">
        <v>320</v>
      </c>
    </row>
    <row r="6" customFormat="false" ht="15" hidden="false" customHeight="false" outlineLevel="0" collapsed="false">
      <c r="A6" s="9" t="s">
        <v>321</v>
      </c>
      <c r="B6" s="9" t="s">
        <v>322</v>
      </c>
      <c r="C6" s="9" t="s">
        <v>323</v>
      </c>
    </row>
    <row r="7" customFormat="false" ht="31.5" hidden="false" customHeight="true" outlineLevel="0" collapsed="false">
      <c r="A7" s="11" t="s">
        <v>324</v>
      </c>
      <c r="B7" s="12" t="s">
        <v>325</v>
      </c>
      <c r="C7" s="13" t="s">
        <v>326</v>
      </c>
    </row>
    <row r="8" customFormat="false" ht="31.5" hidden="false" customHeight="true" outlineLevel="0" collapsed="false">
      <c r="A8" s="11" t="s">
        <v>327</v>
      </c>
      <c r="B8" s="12" t="s">
        <v>328</v>
      </c>
      <c r="C8" s="13" t="s">
        <v>329</v>
      </c>
    </row>
    <row r="9" customFormat="false" ht="31.5" hidden="false" customHeight="true" outlineLevel="0" collapsed="false">
      <c r="A9" s="11" t="s">
        <v>330</v>
      </c>
      <c r="B9" s="12" t="s">
        <v>331</v>
      </c>
      <c r="C9" s="13" t="s">
        <v>332</v>
      </c>
    </row>
    <row r="10" customFormat="false" ht="31.5" hidden="false" customHeight="true" outlineLevel="0" collapsed="false">
      <c r="A10" s="11" t="s">
        <v>333</v>
      </c>
      <c r="B10" s="12" t="s">
        <v>334</v>
      </c>
      <c r="C10" s="13" t="s">
        <v>335</v>
      </c>
    </row>
    <row r="11" customFormat="false" ht="31.5" hidden="false" customHeight="true" outlineLevel="0" collapsed="false">
      <c r="A11" s="11" t="s">
        <v>336</v>
      </c>
      <c r="B11" s="12" t="s">
        <v>337</v>
      </c>
      <c r="C11" s="13" t="s">
        <v>338</v>
      </c>
    </row>
    <row r="12" customFormat="false" ht="31.5" hidden="false" customHeight="true" outlineLevel="0" collapsed="false">
      <c r="A12" s="11" t="s">
        <v>339</v>
      </c>
      <c r="B12" s="12" t="s">
        <v>340</v>
      </c>
      <c r="C12" s="13" t="s">
        <v>341</v>
      </c>
    </row>
    <row r="13" customFormat="false" ht="31.5" hidden="false" customHeight="true" outlineLevel="0" collapsed="false">
      <c r="A13" s="11" t="s">
        <v>342</v>
      </c>
      <c r="B13" s="12" t="s">
        <v>343</v>
      </c>
      <c r="C13" s="13" t="s">
        <v>344</v>
      </c>
    </row>
    <row r="15" customFormat="false" ht="31.5" hidden="false" customHeight="true" outlineLevel="0" collapsed="false">
      <c r="A15" s="29" t="s">
        <v>345</v>
      </c>
      <c r="B15" s="5" t="s">
        <v>346</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2026-08-14T01:10:13Z</dcterms:created>
  <dc:creator>openpyxl</dc:creator>
  <dc:description/>
  <dc:language>en-US</dc:language>
  <cp:lastModifiedBy/>
  <dcterms:modified xsi:type="dcterms:W3CDTF">2026-08-14T01:10:13Z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